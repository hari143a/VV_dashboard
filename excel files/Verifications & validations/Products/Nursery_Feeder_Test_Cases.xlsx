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nutreco1-my.sharepoint.com/personal/akashrai_sarvesh_eruvaka_com/Documents/Documents/2026_Project/Moving Feeder/MF_Test Cases/"/>
    </mc:Choice>
  </mc:AlternateContent>
  <xr:revisionPtr revIDLastSave="1981" documentId="8_{EA694135-9146-429E-AB7B-725BF0A71DC6}" xr6:coauthVersionLast="47" xr6:coauthVersionMax="47" xr10:uidLastSave="{B749F4C7-0353-4DF5-A9DD-6F50B98B7775}"/>
  <bookViews>
    <workbookView xWindow="28680" yWindow="-120" windowWidth="29040" windowHeight="15720" firstSheet="7" activeTab="7" xr2:uid="{BD55DB27-4D39-4597-972E-029B203F14CF}"/>
  </bookViews>
  <sheets>
    <sheet name="Testings Info" sheetId="14" r:id="rId1"/>
    <sheet name="index" sheetId="13" r:id="rId2"/>
    <sheet name="defect tracker" sheetId="15" r:id="rId3"/>
    <sheet name="Basic_Functional_test" sheetId="1" r:id="rId4"/>
    <sheet name="Ecudor_Schedule_Test_cases" sheetId="2" r:id="rId5"/>
    <sheet name="Mechnical_Test_cases" sheetId="4" r:id="rId6"/>
    <sheet name="Hardware_Test_Cases" sheetId="5" r:id="rId7"/>
    <sheet name="Firmware_Test_cases" sheetId="6" r:id="rId8"/>
    <sheet name="Cloud_Communication_Test_Cases" sheetId="7" r:id="rId9"/>
    <sheet name="Reliability_Test_Cases" sheetId="8" r:id="rId10"/>
    <sheet name="Performance_Test_Cases" sheetId="9" r:id="rId11"/>
    <sheet name="Safety_Test_Cases" sheetId="10" r:id="rId12"/>
    <sheet name="Environmental_Test_Cases" sheetId="11" r:id="rId13"/>
    <sheet name="Y" sheetId="12" r:id="rId14"/>
  </sheets>
  <definedNames>
    <definedName name="_xlnm._FilterDatabase" localSheetId="6" hidden="1">Hardware_Test_Cases!$A$1:$O$1</definedName>
    <definedName name="_xlnm._FilterDatabase" localSheetId="7" hidden="1">Firmware_Test_cases!$A$1:$XFC$1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3" i="8" l="1"/>
  <c r="A49" i="1"/>
  <c r="A62" i="5"/>
  <c r="C14" i="13"/>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4" i="10"/>
  <c r="A5" i="10"/>
  <c r="A6" i="10"/>
  <c r="A7" i="10"/>
  <c r="A8" i="10"/>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 i="10"/>
  <c r="A4" i="9"/>
  <c r="A5" i="9"/>
  <c r="A6" i="9"/>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 i="9"/>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alcChain>
</file>

<file path=xl/sharedStrings.xml><?xml version="1.0" encoding="utf-8"?>
<sst xmlns="http://schemas.openxmlformats.org/spreadsheetml/2006/main" count="3583" uniqueCount="2427">
  <si>
    <t>ADD cases</t>
  </si>
  <si>
    <t>Product name</t>
  </si>
  <si>
    <r>
      <rPr>
        <sz val="11"/>
        <color rgb="FF000000"/>
        <rFont val="Calibri"/>
      </rPr>
      <t xml:space="preserve">The system </t>
    </r>
    <r>
      <rPr>
        <b/>
        <sz val="11"/>
        <color rgb="FF000000"/>
        <rFont val="Calibri"/>
      </rPr>
      <t>continues operating for ≥48 hours or 500 kgs</t>
    </r>
  </si>
  <si>
    <t>Hardware Version</t>
  </si>
  <si>
    <t>Firmware Version</t>
  </si>
  <si>
    <t>Created by</t>
  </si>
  <si>
    <t>Created Date</t>
  </si>
  <si>
    <t>Updated by</t>
  </si>
  <si>
    <t>Updated Date</t>
  </si>
  <si>
    <t>Test Case Reviewed by</t>
  </si>
  <si>
    <t>Test Case Reviewed Date</t>
  </si>
  <si>
    <t>Tested by</t>
  </si>
  <si>
    <t>Test Execution Date</t>
  </si>
  <si>
    <t>Test Reviewed by</t>
  </si>
  <si>
    <t>Test Reviewed Date</t>
  </si>
  <si>
    <t> </t>
  </si>
  <si>
    <t>Test Scenario</t>
  </si>
  <si>
    <t>Module</t>
  </si>
  <si>
    <t>no.of cases</t>
  </si>
  <si>
    <t>Basic_Functional_test</t>
  </si>
  <si>
    <t>Ecudor_Schedule_Test_cases</t>
  </si>
  <si>
    <t>Mechnical_Test_cases</t>
  </si>
  <si>
    <t>Hardware_Test_Cases</t>
  </si>
  <si>
    <t>Firmware_Test_cases</t>
  </si>
  <si>
    <t>Cloud_Communication_Test_Cases</t>
  </si>
  <si>
    <t>Reliability_Test_Cases</t>
  </si>
  <si>
    <t>Performance_Test_Cases</t>
  </si>
  <si>
    <t>Safety_Test_Cases</t>
  </si>
  <si>
    <t>Environmental_Test_Cases</t>
  </si>
  <si>
    <t>Total</t>
  </si>
  <si>
    <t>S.No</t>
  </si>
  <si>
    <t>Defect ID</t>
  </si>
  <si>
    <t>Defect Title</t>
  </si>
  <si>
    <t>Defect Description</t>
  </si>
  <si>
    <t>Respective Test case  (Test Id, Test Case in detail description)</t>
  </si>
  <si>
    <t>Software Version</t>
  </si>
  <si>
    <t>Defect Severity</t>
  </si>
  <si>
    <t>Defect Priority</t>
  </si>
  <si>
    <t>Steps to reproduce</t>
  </si>
  <si>
    <t>Evidences (Screenshot / Logs/ Observation)</t>
  </si>
  <si>
    <t>Gitlab Issue link for deferred issues / Reason for defect occurrence</t>
  </si>
  <si>
    <t>Identified by</t>
  </si>
  <si>
    <t>Identified Date</t>
  </si>
  <si>
    <t>Defect Status</t>
  </si>
  <si>
    <t>Fixed by</t>
  </si>
  <si>
    <t>Fixed Date</t>
  </si>
  <si>
    <t>Remarks</t>
  </si>
  <si>
    <t xml:space="preserve">Basic Functionality Test Cases – Nursery Feeder </t>
  </si>
  <si>
    <t>SLNO</t>
  </si>
  <si>
    <t>TC ID</t>
  </si>
  <si>
    <t>Category</t>
  </si>
  <si>
    <t>Test Place</t>
  </si>
  <si>
    <t>Test Objective</t>
  </si>
  <si>
    <t>Initial Condition</t>
  </si>
  <si>
    <t>Test Steps</t>
  </si>
  <si>
    <t>Expected Result</t>
  </si>
  <si>
    <t>Actual Result</t>
  </si>
  <si>
    <t>Status</t>
  </si>
  <si>
    <t>Tester's name</t>
  </si>
  <si>
    <t>Evidence</t>
  </si>
  <si>
    <t>Test Execution Date(DD/MM/YYYY)</t>
  </si>
  <si>
    <t>Test Execution Start Time</t>
  </si>
  <si>
    <t>Test Execution End Time</t>
  </si>
  <si>
    <t>Reviewer name</t>
  </si>
  <si>
    <t>Reviewed date</t>
  </si>
  <si>
    <t>MF-BF-001</t>
  </si>
  <si>
    <t>Basic Functionality</t>
  </si>
  <si>
    <t xml:space="preserve"> IN House Testing</t>
  </si>
  <si>
    <t>Verify System Power ON</t>
  </si>
  <si>
    <t>Verify the feeder powers ON successfully</t>
  </si>
  <si>
    <t>Battery connected and system OFF</t>
  </si>
  <si>
    <t>1. Switch ON the feeder.
2. Observe LEDs and controller boot.</t>
  </si>
  <si>
    <t>System powers ON successfully without errors.</t>
  </si>
  <si>
    <t>MF-BF-002</t>
  </si>
  <si>
    <t>Verify Schedule Loading</t>
  </si>
  <si>
    <t>Verify saved schedule loads correctly</t>
  </si>
  <si>
    <t>Schedule already configured</t>
  </si>
  <si>
    <t>1. Restart controller.
2. Open Schedule page.</t>
  </si>
  <si>
    <t>Previously saved schedule is displayed correctly.</t>
  </si>
  <si>
    <t>MF-BF-003</t>
  </si>
  <si>
    <t>Verify Automatic Schedule Start</t>
  </si>
  <si>
    <t>Verify feeder starts automatically according to schedule</t>
  </si>
  <si>
    <t>Valid schedule configured</t>
  </si>
  <si>
    <t>1. Configure schedule.
2. Wait for scheduled start time.</t>
  </si>
  <si>
    <t>Feeder starts automatically at configured time without user intervention.</t>
  </si>
  <si>
    <t>MF-BF-004</t>
  </si>
  <si>
    <t xml:space="preserve">Field Testing </t>
  </si>
  <si>
    <t>Verify Feeder Movement</t>
  </si>
  <si>
    <t>Verify feeder movement after schedule starts</t>
  </si>
  <si>
    <t>Schedule active</t>
  </si>
  <si>
    <t>1. Allow schedule to start.
2. Observe feeder movement.</t>
  </si>
  <si>
    <t>Feeder moves smoothly towards the feeding location.</t>
  </si>
  <si>
    <t xml:space="preserve">  </t>
  </si>
  <si>
    <t>MF-BF-005</t>
  </si>
  <si>
    <t>Feeding</t>
  </si>
  <si>
    <t>Verify Dispenser Motor Operation</t>
  </si>
  <si>
    <t>Verify dispenser motor starts correctly</t>
  </si>
  <si>
    <t>Feeder stopped at feeding location</t>
  </si>
  <si>
    <t>1.	Power ON the Moving Feeder and configure a valid feeding schedule. 
2.	Ensure the hopper is filled with sufficient feed. 
3.	Allow the feeder to reach and stop at the dispensing point. 
4.	Verify the dispenser motor starts and dispenses the configured feed. 
5.	Verify the dispenser motor stops and the feeder resumes movement.</t>
  </si>
  <si>
    <t>Dispenser motor starts automatically at the feeding location, dispenses the configured feed quantity, stops after dispensing, and the feeder resumes its scheduled operation.</t>
  </si>
  <si>
    <t>MF-BF-006</t>
  </si>
  <si>
    <t>Verify Feed Dispensing Sequence</t>
  </si>
  <si>
    <t>Verify feeder stops before dispensing feed</t>
  </si>
  <si>
    <t>Schedule active and hopper contains feed</t>
  </si>
  <si>
    <t>1. Start schedule.
2. Observe feeder movement.
3. Observe dispensing sequence.</t>
  </si>
  <si>
    <t>Feeder start moving forward and stops moving, dispenser motor starts, feed is dispensed according to OCF, dispenser motor stops, and feeder resumes movement. Feed is not dispensed while the feeder is moving.</t>
  </si>
  <si>
    <t>MF-BF-007</t>
  </si>
  <si>
    <t>Movement</t>
  </si>
  <si>
    <t>Verify Stopper Detection</t>
  </si>
  <si>
    <t>Verify feeder detects stopper position</t>
  </si>
  <si>
    <t>Schedule running</t>
  </si>
  <si>
    <t>1. Power ON the feeder and configure a valid schedule.
2. Wait for the scheduled start time.
3. Allow the feeder to move toward the stopper.
4. Observe the stopper sensor when the feeder reaches the stopper.
5. Verify the programmed action is executed and record the result.</t>
  </si>
  <si>
    <t>Stopper is detected correctly and the feeder performs the programmed action.</t>
  </si>
  <si>
    <t>MF-BF-008</t>
  </si>
  <si>
    <t>Verify OCF Dispensing</t>
  </si>
  <si>
    <t>Verify configured OCF quantity</t>
  </si>
  <si>
    <t>OCF = 200 g</t>
  </si>
  <si>
    <t>1. Fill the hopper and configure OCF as 200 g.
2. Configure and start a feeding schedule.
3. Collect the feed dispensed during one cycle.
4. Measure the feed using a calibrated weighing scale.
5. Compare the measured weight with the configured OCF and record the result.</t>
  </si>
  <si>
    <r>
      <t xml:space="preserve">Approximately </t>
    </r>
    <r>
      <rPr>
        <b/>
        <sz val="11"/>
        <color theme="1"/>
        <rFont val="Aptos Narrow"/>
        <family val="2"/>
        <scheme val="minor"/>
      </rPr>
      <t>200 g (± tolerance)</t>
    </r>
    <r>
      <rPr>
        <sz val="11"/>
        <color theme="1"/>
        <rFont val="Aptos Narrow"/>
        <family val="2"/>
        <scheme val="minor"/>
      </rPr>
      <t xml:space="preserve"> is dispensed.</t>
    </r>
  </si>
  <si>
    <t>MF-SCH-BF-009</t>
  </si>
  <si>
    <t>Schedule</t>
  </si>
  <si>
    <t>Verify Schedule-1 Execution</t>
  </si>
  <si>
    <r>
      <t xml:space="preserve">Verify feeder executes </t>
    </r>
    <r>
      <rPr>
        <b/>
        <sz val="11"/>
        <color theme="1"/>
        <rFont val="Aptos Narrow"/>
        <family val="2"/>
        <scheme val="minor"/>
      </rPr>
      <t>Schedule-1</t>
    </r>
    <r>
      <rPr>
        <sz val="11"/>
        <color theme="1"/>
        <rFont val="Aptos Narrow"/>
        <family val="2"/>
        <scheme val="minor"/>
      </rPr>
      <t xml:space="preserve"> configured with </t>
    </r>
    <r>
      <rPr>
        <b/>
        <sz val="11"/>
        <color theme="1"/>
        <rFont val="Aptos Narrow"/>
        <family val="2"/>
        <scheme val="minor"/>
      </rPr>
      <t>Start Time: 10:00 AM, End Time: 10:55 AM, TF: 2.47 kg, OCF: 200 g, FGI: 4.5 min.</t>
    </r>
  </si>
  <si>
    <t>Schedule-1 configured and feeder ON</t>
  </si>
  <si>
    <t>1. Configure Schedule-1.
2. Save the schedule.
3. Wait until 10:00 AM.
4. Observe feeder movement and feed dispensing.
5. Verify schedule completion.</t>
  </si>
  <si>
    <r>
      <t xml:space="preserve">Feeder starts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2.47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4.5 min</t>
    </r>
    <r>
      <rPr>
        <sz val="11"/>
        <color theme="1"/>
        <rFont val="Aptos Narrow"/>
        <family val="2"/>
        <scheme val="minor"/>
      </rPr>
      <t xml:space="preserve">, and stops automatically at </t>
    </r>
    <r>
      <rPr>
        <b/>
        <sz val="11"/>
        <color theme="1"/>
        <rFont val="Aptos Narrow"/>
        <family val="2"/>
        <scheme val="minor"/>
      </rPr>
      <t>10:55 AM</t>
    </r>
    <r>
      <rPr>
        <sz val="11"/>
        <color theme="1"/>
        <rFont val="Aptos Narrow"/>
        <family val="2"/>
        <scheme val="minor"/>
      </rPr>
      <t>.</t>
    </r>
  </si>
  <si>
    <t>MF-SCH-BF-010</t>
  </si>
  <si>
    <t>Verify Schedule-2 Execution</t>
  </si>
  <si>
    <r>
      <t xml:space="preserve">Verify feeder executes </t>
    </r>
    <r>
      <rPr>
        <b/>
        <sz val="11"/>
        <color theme="1"/>
        <rFont val="Aptos Narrow"/>
        <family val="2"/>
        <scheme val="minor"/>
      </rPr>
      <t>Schedule-2</t>
    </r>
    <r>
      <rPr>
        <sz val="11"/>
        <color theme="1"/>
        <rFont val="Aptos Narrow"/>
        <family val="2"/>
        <scheme val="minor"/>
      </rPr>
      <t xml:space="preserve"> configured with </t>
    </r>
    <r>
      <rPr>
        <b/>
        <sz val="11"/>
        <color theme="1"/>
        <rFont val="Aptos Narrow"/>
        <family val="2"/>
        <scheme val="minor"/>
      </rPr>
      <t>Start Time: 11:00 AM, End Time: 11:55 AM, TF: 2.62 kg, OCF: 200 g, FGI: 4.2 min.</t>
    </r>
  </si>
  <si>
    <t>Schedule-2 configured</t>
  </si>
  <si>
    <t>1. Configure Schedule-2.
2. Save the schedule.
3. Wait until 11:00 AM.
4. Observe feeder operation.
5. Verify schedule completion.</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</si>
  <si>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2.62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4.2 min</t>
    </r>
    <r>
      <rPr>
        <sz val="11"/>
        <color theme="1"/>
        <rFont val="Aptos Narrow"/>
        <family val="2"/>
        <scheme val="minor"/>
      </rPr>
      <t xml:space="preserve">, and stops automatically at </t>
    </r>
    <r>
      <rPr>
        <b/>
        <sz val="11"/>
        <color theme="1"/>
        <rFont val="Aptos Narrow"/>
        <family val="2"/>
        <scheme val="minor"/>
      </rPr>
      <t>11:55 AM</t>
    </r>
    <r>
      <rPr>
        <sz val="11"/>
        <color theme="1"/>
        <rFont val="Aptos Narrow"/>
        <family val="2"/>
        <scheme val="minor"/>
      </rPr>
      <t>.</t>
    </r>
  </si>
  <si>
    <t>MF-SCH-BF-011</t>
  </si>
  <si>
    <t>Verify Schedule-3 Execution</t>
  </si>
  <si>
    <r>
      <t xml:space="preserve">Verify feeder executes </t>
    </r>
    <r>
      <rPr>
        <b/>
        <sz val="11"/>
        <color theme="1"/>
        <rFont val="Aptos Narrow"/>
        <family val="2"/>
        <scheme val="minor"/>
      </rPr>
      <t>Schedule-3</t>
    </r>
    <r>
      <rPr>
        <sz val="11"/>
        <color theme="1"/>
        <rFont val="Aptos Narrow"/>
        <family val="2"/>
        <scheme val="minor"/>
      </rPr>
      <t xml:space="preserve"> configured with </t>
    </r>
    <r>
      <rPr>
        <b/>
        <sz val="11"/>
        <color theme="1"/>
        <rFont val="Aptos Narrow"/>
        <family val="2"/>
        <scheme val="minor"/>
      </rPr>
      <t>Start Time: 12:00 PM, End Time: 12:55 PM, TF: 2.77 kg, OCF: 200 g, FGI: 4.0 min.</t>
    </r>
  </si>
  <si>
    <t>Schedule-3 configured</t>
  </si>
  <si>
    <t>1. Configure Schedule-3.
2. Save the schedule.
3. Wait until 12:00 PM.
4. Monitor feeder operation.
5. Verify schedule completion.</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</si>
  <si>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2.77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4.0 min</t>
    </r>
    <r>
      <rPr>
        <sz val="11"/>
        <color theme="1"/>
        <rFont val="Aptos Narrow"/>
        <family val="2"/>
        <scheme val="minor"/>
      </rPr>
      <t>, and completes successfully.</t>
    </r>
  </si>
  <si>
    <t>MF-SCH-BF-012</t>
  </si>
  <si>
    <t>Verify Schedule-4 Execution</t>
  </si>
  <si>
    <r>
      <t xml:space="preserve">Verify feeder executes </t>
    </r>
    <r>
      <rPr>
        <b/>
        <sz val="11"/>
        <color theme="1"/>
        <rFont val="Aptos Narrow"/>
        <family val="2"/>
        <scheme val="minor"/>
      </rPr>
      <t>Schedule-4</t>
    </r>
    <r>
      <rPr>
        <sz val="11"/>
        <color theme="1"/>
        <rFont val="Aptos Narrow"/>
        <family val="2"/>
        <scheme val="minor"/>
      </rPr>
      <t xml:space="preserve"> configured with </t>
    </r>
    <r>
      <rPr>
        <b/>
        <sz val="11"/>
        <color theme="1"/>
        <rFont val="Aptos Narrow"/>
        <family val="2"/>
        <scheme val="minor"/>
      </rPr>
      <t>Start Time: 01:00 PM, End Time: 02:55 PM, TF: 5.94 kg, OCF: 200 g, FGI: 3.9 min.</t>
    </r>
  </si>
  <si>
    <t>Schedule-4 configured</t>
  </si>
  <si>
    <t>1. Configure Schedule-4.
2. Save the schedule.
3. Wait until 01:00 PM.
4. Observe feeder operation.
5. Verify schedule completion.</t>
  </si>
  <si>
    <r>
      <t xml:space="preserve">Feeder starts at </t>
    </r>
    <r>
      <rPr>
        <b/>
        <sz val="11"/>
        <color theme="1"/>
        <rFont val="Aptos Narrow"/>
        <family val="2"/>
        <scheme val="minor"/>
      </rPr>
      <t>01:00 PM</t>
    </r>
    <r>
      <rPr>
        <sz val="11"/>
        <color theme="1"/>
        <rFont val="Aptos Narrow"/>
        <family val="2"/>
        <scheme val="minor"/>
      </rPr>
      <t xml:space="preserve">, dispenses </t>
    </r>
    <r>
      <rPr>
        <b/>
        <sz val="11"/>
        <color theme="1"/>
        <rFont val="Aptos Narrow"/>
        <family val="2"/>
        <scheme val="minor"/>
      </rPr>
      <t>5.94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3.9 min</t>
    </r>
    <r>
      <rPr>
        <sz val="11"/>
        <color theme="1"/>
        <rFont val="Aptos Narrow"/>
        <family val="2"/>
        <scheme val="minor"/>
      </rPr>
      <t xml:space="preserve">, and stops automatically at </t>
    </r>
    <r>
      <rPr>
        <b/>
        <sz val="11"/>
        <color theme="1"/>
        <rFont val="Aptos Narrow"/>
        <family val="2"/>
        <scheme val="minor"/>
      </rPr>
      <t>02:55 PM</t>
    </r>
    <r>
      <rPr>
        <sz val="11"/>
        <color theme="1"/>
        <rFont val="Aptos Narrow"/>
        <family val="2"/>
        <scheme val="minor"/>
      </rPr>
      <t>.</t>
    </r>
  </si>
  <si>
    <t>MF-SCH-BF-013</t>
  </si>
  <si>
    <t>Verify Schedule-5 Execution</t>
  </si>
  <si>
    <r>
      <t xml:space="preserve">Verify feeder executes </t>
    </r>
    <r>
      <rPr>
        <b/>
        <sz val="11"/>
        <color theme="1"/>
        <rFont val="Aptos Narrow"/>
        <family val="2"/>
        <scheme val="minor"/>
      </rPr>
      <t>Schedule-5</t>
    </r>
    <r>
      <rPr>
        <sz val="11"/>
        <color theme="1"/>
        <rFont val="Aptos Narrow"/>
        <family val="2"/>
        <scheme val="minor"/>
      </rPr>
      <t xml:space="preserve"> configured with </t>
    </r>
    <r>
      <rPr>
        <b/>
        <sz val="11"/>
        <color theme="1"/>
        <rFont val="Aptos Narrow"/>
        <family val="2"/>
        <scheme val="minor"/>
      </rPr>
      <t>Start Time: 03:00 PM, End Time: 04:55 PM, TF: 6.20 kg, OCF: 200 g, FGI: 3.7 min.</t>
    </r>
  </si>
  <si>
    <t>Schedule-5 configured</t>
  </si>
  <si>
    <t>1. Configure Schedule-5.
2. Save the schedule.
3. Wait until 03:00 PM.
4. Observe feeder movement and feed dispensing.
5. Verify schedule completion.</t>
  </si>
  <si>
    <r>
      <t xml:space="preserve">Feeder starts at </t>
    </r>
    <r>
      <rPr>
        <b/>
        <sz val="11"/>
        <color theme="1"/>
        <rFont val="Aptos Narrow"/>
        <family val="2"/>
        <scheme val="minor"/>
      </rPr>
      <t>03:00 PM</t>
    </r>
    <r>
      <rPr>
        <sz val="11"/>
        <color theme="1"/>
        <rFont val="Aptos Narrow"/>
        <family val="2"/>
        <scheme val="minor"/>
      </rPr>
      <t xml:space="preserve">, dispenses </t>
    </r>
    <r>
      <rPr>
        <b/>
        <sz val="11"/>
        <color theme="1"/>
        <rFont val="Aptos Narrow"/>
        <family val="2"/>
        <scheme val="minor"/>
      </rPr>
      <t>6.20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3.7 min</t>
    </r>
    <r>
      <rPr>
        <sz val="11"/>
        <color theme="1"/>
        <rFont val="Aptos Narrow"/>
        <family val="2"/>
        <scheme val="minor"/>
      </rPr>
      <t xml:space="preserve">, and stops automatically at </t>
    </r>
    <r>
      <rPr>
        <b/>
        <sz val="11"/>
        <color theme="1"/>
        <rFont val="Aptos Narrow"/>
        <family val="2"/>
        <scheme val="minor"/>
      </rPr>
      <t>04:55 PM</t>
    </r>
    <r>
      <rPr>
        <sz val="11"/>
        <color theme="1"/>
        <rFont val="Aptos Narrow"/>
        <family val="2"/>
        <scheme val="minor"/>
      </rPr>
      <t>.</t>
    </r>
  </si>
  <si>
    <t>MF-SCH-BF-014</t>
  </si>
  <si>
    <t>Verify Schedule-6 Execution</t>
  </si>
  <si>
    <r>
      <t xml:space="preserve">Verify feeder executes </t>
    </r>
    <r>
      <rPr>
        <b/>
        <sz val="11"/>
        <color theme="1"/>
        <rFont val="Aptos Narrow"/>
        <family val="2"/>
        <scheme val="minor"/>
      </rPr>
      <t>Schedule-6</t>
    </r>
    <r>
      <rPr>
        <sz val="11"/>
        <color theme="1"/>
        <rFont val="Aptos Narrow"/>
        <family val="2"/>
        <scheme val="minor"/>
      </rPr>
      <t xml:space="preserve"> configured with </t>
    </r>
    <r>
      <rPr>
        <b/>
        <sz val="11"/>
        <color theme="1"/>
        <rFont val="Aptos Narrow"/>
        <family val="2"/>
        <scheme val="minor"/>
      </rPr>
      <t>Start Time: 05:00 PM, End Time: 06:55 PM, TF: 6.01 kg, OCF: 200 g, FGI: 3.8 min.</t>
    </r>
  </si>
  <si>
    <t>Schedule-6 configured</t>
  </si>
  <si>
    <t>1. Configure Schedule-6.
2. Save the schedule.
3. Wait until 05:00 PM.
4. Observe feeder operation.
5. Verify schedule completion.</t>
  </si>
  <si>
    <r>
      <t xml:space="preserve">Feeder starts at </t>
    </r>
    <r>
      <rPr>
        <b/>
        <sz val="11"/>
        <color theme="1"/>
        <rFont val="Aptos Narrow"/>
        <family val="2"/>
        <scheme val="minor"/>
      </rPr>
      <t>05:00 PM</t>
    </r>
    <r>
      <rPr>
        <sz val="11"/>
        <color theme="1"/>
        <rFont val="Aptos Narrow"/>
        <family val="2"/>
        <scheme val="minor"/>
      </rPr>
      <t xml:space="preserve">, dispenses </t>
    </r>
    <r>
      <rPr>
        <b/>
        <sz val="11"/>
        <color theme="1"/>
        <rFont val="Aptos Narrow"/>
        <family val="2"/>
        <scheme val="minor"/>
      </rPr>
      <t>6.01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3.8 min</t>
    </r>
    <r>
      <rPr>
        <sz val="11"/>
        <color theme="1"/>
        <rFont val="Aptos Narrow"/>
        <family val="2"/>
        <scheme val="minor"/>
      </rPr>
      <t xml:space="preserve">, and stops automatically at </t>
    </r>
    <r>
      <rPr>
        <b/>
        <sz val="11"/>
        <color theme="1"/>
        <rFont val="Aptos Narrow"/>
        <family val="2"/>
        <scheme val="minor"/>
      </rPr>
      <t>06:55 PM</t>
    </r>
    <r>
      <rPr>
        <sz val="11"/>
        <color theme="1"/>
        <rFont val="Aptos Narrow"/>
        <family val="2"/>
        <scheme val="minor"/>
      </rPr>
      <t>.</t>
    </r>
  </si>
  <si>
    <t>MF-SCH-BF-015</t>
  </si>
  <si>
    <t>Verify Schedule-7 Execution</t>
  </si>
  <si>
    <r>
      <t xml:space="preserve">Verify feeder executes </t>
    </r>
    <r>
      <rPr>
        <b/>
        <sz val="11"/>
        <color theme="1"/>
        <rFont val="Aptos Narrow"/>
        <family val="2"/>
        <scheme val="minor"/>
      </rPr>
      <t>Schedule-7</t>
    </r>
    <r>
      <rPr>
        <sz val="11"/>
        <color theme="1"/>
        <rFont val="Aptos Narrow"/>
        <family val="2"/>
        <scheme val="minor"/>
      </rPr>
      <t xml:space="preserve"> configured with </t>
    </r>
    <r>
      <rPr>
        <b/>
        <sz val="11"/>
        <color theme="1"/>
        <rFont val="Aptos Narrow"/>
        <family val="2"/>
        <scheme val="minor"/>
      </rPr>
      <t>Start Time: 07:00 PM, End Time: 08:55 PM, TF: 5.57 kg, OCF: 200 g, FGI: 4.1 min.</t>
    </r>
  </si>
  <si>
    <t>Schedule-7 configured</t>
  </si>
  <si>
    <t>1. Configure Schedule-7.
2. Save the schedule.
3. Wait until 07:00 PM.
4. Observe feeder movement and feed dispensing.
5. Verify schedule completion.</t>
  </si>
  <si>
    <r>
      <t xml:space="preserve">Feeder starts at </t>
    </r>
    <r>
      <rPr>
        <b/>
        <sz val="11"/>
        <color theme="1"/>
        <rFont val="Aptos Narrow"/>
        <family val="2"/>
        <scheme val="minor"/>
      </rPr>
      <t>07:00 PM</t>
    </r>
    <r>
      <rPr>
        <sz val="11"/>
        <color theme="1"/>
        <rFont val="Aptos Narrow"/>
        <family val="2"/>
        <scheme val="minor"/>
      </rPr>
      <t xml:space="preserve">, dispenses </t>
    </r>
    <r>
      <rPr>
        <b/>
        <sz val="11"/>
        <color theme="1"/>
        <rFont val="Aptos Narrow"/>
        <family val="2"/>
        <scheme val="minor"/>
      </rPr>
      <t>5.57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4.1 min</t>
    </r>
    <r>
      <rPr>
        <sz val="11"/>
        <color theme="1"/>
        <rFont val="Aptos Narrow"/>
        <family val="2"/>
        <scheme val="minor"/>
      </rPr>
      <t xml:space="preserve">, and stops automatically at </t>
    </r>
    <r>
      <rPr>
        <b/>
        <sz val="11"/>
        <color theme="1"/>
        <rFont val="Aptos Narrow"/>
        <family val="2"/>
        <scheme val="minor"/>
      </rPr>
      <t>08:55 PM</t>
    </r>
    <r>
      <rPr>
        <sz val="11"/>
        <color theme="1"/>
        <rFont val="Aptos Narrow"/>
        <family val="2"/>
        <scheme val="minor"/>
      </rPr>
      <t>.</t>
    </r>
  </si>
  <si>
    <t>MF-SCH-BF-016</t>
  </si>
  <si>
    <t>Verify Schedule-8 Execution</t>
  </si>
  <si>
    <r>
      <t xml:space="preserve">Verify feeder executes </t>
    </r>
    <r>
      <rPr>
        <b/>
        <sz val="11"/>
        <color theme="1"/>
        <rFont val="Aptos Narrow"/>
        <family val="2"/>
        <scheme val="minor"/>
      </rPr>
      <t>Schedule-8</t>
    </r>
    <r>
      <rPr>
        <sz val="11"/>
        <color theme="1"/>
        <rFont val="Aptos Narrow"/>
        <family val="2"/>
        <scheme val="minor"/>
      </rPr>
      <t xml:space="preserve"> configured with </t>
    </r>
    <r>
      <rPr>
        <b/>
        <sz val="11"/>
        <color theme="1"/>
        <rFont val="Aptos Narrow"/>
        <family val="2"/>
        <scheme val="minor"/>
      </rPr>
      <t>Start Time: 09:00 PM, End Time: 11:00 PM, TF: 5.31 kg, OCF: 200 g, FGI: 4.5 min.</t>
    </r>
  </si>
  <si>
    <t>Schedule-8 configured</t>
  </si>
  <si>
    <t>1. Configure Schedule-8.
2. Save the schedule.
3. Wait until 09:00 PM.
4. Observe feeder operation.
5. Verify schedule completion.</t>
  </si>
  <si>
    <r>
      <t xml:space="preserve">Feeder starts at </t>
    </r>
    <r>
      <rPr>
        <b/>
        <sz val="11"/>
        <color theme="1"/>
        <rFont val="Aptos Narrow"/>
        <family val="2"/>
        <scheme val="minor"/>
      </rPr>
      <t>09:00 PM</t>
    </r>
    <r>
      <rPr>
        <sz val="11"/>
        <color theme="1"/>
        <rFont val="Aptos Narrow"/>
        <family val="2"/>
        <scheme val="minor"/>
      </rPr>
      <t xml:space="preserve">, dispenses </t>
    </r>
    <r>
      <rPr>
        <b/>
        <sz val="11"/>
        <color theme="1"/>
        <rFont val="Aptos Narrow"/>
        <family val="2"/>
        <scheme val="minor"/>
      </rPr>
      <t>5.31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every </t>
    </r>
    <r>
      <rPr>
        <b/>
        <sz val="11"/>
        <color theme="1"/>
        <rFont val="Aptos Narrow"/>
        <family val="2"/>
        <scheme val="minor"/>
      </rPr>
      <t>4.5 min</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</si>
  <si>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MF-BF-017</t>
  </si>
  <si>
    <t>Verify Schedule Completion</t>
  </si>
  <si>
    <t>Verify feeder completes the schedule</t>
  </si>
  <si>
    <t>1. Configure and save a valid feeding schedule.
2. Wait until the schedule starts.
3. Monitor feeder movement and feed dispensing throughout the schedule.
4. Observe the feeder at the configured end time.
5. Verify the feeder stops automatically and review the system log.</t>
  </si>
  <si>
    <t>Feeder completes the schedule and stops automatically at the configured end time.</t>
  </si>
  <si>
    <t>MF-BF-018</t>
  </si>
  <si>
    <t>Verify Multiple Schedule Execution</t>
  </si>
  <si>
    <t>Verify all configured schedules execute sequentially</t>
  </si>
  <si>
    <t>Multiple schedules configured</t>
  </si>
  <si>
    <t>1. Configure and save multiple feeding schedules.
2. Ensure sufficient feed is available in the hopper.
3. Allow the first schedule to start automatically.
4. Observe execution of all configured schedules throughout the day.
5. Verify all schedules complete successfully without manual intervention.</t>
  </si>
  <si>
    <t>All configured schedules execute automatically and sequentially.</t>
  </si>
  <si>
    <t>MF-BF-019</t>
  </si>
  <si>
    <t>Safety</t>
  </si>
  <si>
    <t>Verify Emergency Stop</t>
  </si>
  <si>
    <t>Verify emergency stop functionality</t>
  </si>
  <si>
    <t>Feeder moving</t>
  </si>
  <si>
    <t>1. Start a feeding schedule and allow the feeder to move.
2. Confirm normal movement and dispensing operation.
3. Press the Emergency Stop button.
4. Observe feeder and dispenser motor response.
5. Verify all motors stop immediately and the system enters a safe state.</t>
  </si>
  <si>
    <t>All motors stop immediately and the system enters a safe state.</t>
  </si>
  <si>
    <t>MF-BF-020</t>
  </si>
  <si>
    <t>Power</t>
  </si>
  <si>
    <t>Verify Power Recovery</t>
  </si>
  <si>
    <t>Verify recovery after power failure</t>
  </si>
  <si>
    <t>1. Start a valid feeding schedule.
2. Disconnect the main power supply during operation.
3. Restore power after a few seconds.
4. Observe controller startup and schedule status.
5. Verify system resumes or restarts according to firmware logic.</t>
  </si>
  <si>
    <t>System resumes or restarts according to firmware design without unexpected behavior.</t>
  </si>
  <si>
    <t>MF-BF-021</t>
  </si>
  <si>
    <t>Communication</t>
  </si>
  <si>
    <t>Verify Controller Communication</t>
  </si>
  <si>
    <t>Verify communication with controller</t>
  </si>
  <si>
    <t>Controller connected</t>
  </si>
  <si>
    <t>1. Power ON the controller and Moving Feeder.
2. Verify communication is established.
3. Configure and execute a feeding schedule.
4. Monitor communication throughout feeder operation.
5. Verify stable communication without errors or disconnections.</t>
  </si>
  <si>
    <t>Communication remains stable throughout operation without data loss or unexpected disconnection.</t>
  </si>
  <si>
    <t>MF-BF-022</t>
  </si>
  <si>
    <t>Basic</t>
  </si>
  <si>
    <t xml:space="preserve"> Field Testing</t>
  </si>
  <si>
    <t>Verify Bin Empty Detection During Forward Movement</t>
  </si>
  <si>
    <t>Verify feeder detects Bin Empty while moving toward the feeding point</t>
  </si>
  <si>
    <t>Hopper contains very little feed so Bin Empty is triggered during movement</t>
  </si>
  <si>
    <t>1. Configure a feeding schedule.
2. Fill the hopper with feed below the Bin Empty threshold.
3. Start the schedule.
4. Allow the feeder to move forward until the Bin Empty condition is detected.</t>
  </si>
  <si>
    <t>Bin Empty is detected successfully while the feeder is moving forward. Bin Empty event is triggered.</t>
  </si>
  <si>
    <t>MF-BF-023</t>
  </si>
  <si>
    <t>Verify Automatic Return to Bank After Bin Empty Detection</t>
  </si>
  <si>
    <t>Verify feeder automatically returns to the bank (home position) after Bin Empty detection</t>
  </si>
  <si>
    <t>Bin Empty detected during forward movement</t>
  </si>
  <si>
    <t>1. Start a scheduled feeding cycle.
2. Trigger the Bin Empty condition while the feeder is moving forward.
3. Observe feeder behaviour</t>
  </si>
  <si>
    <t>Feeder immediately stops its feeding operation and automatically returns to the bank/home position without completing the remaining feeding path.</t>
  </si>
  <si>
    <t>MF-BF-024</t>
  </si>
  <si>
    <t>Verify Feed Dispensing Stops After Bin Empty Detection</t>
  </si>
  <si>
    <t>Verify feed dispensing stops immediately after Bin Empty detection</t>
  </si>
  <si>
    <t>Bin Empty occurs during schedule</t>
  </si>
  <si>
    <t>1. Execute a feeding schedule.
2. Trigger Bin Empty.
3. Observe dispenser motor.</t>
  </si>
  <si>
    <t>Dispenser motor stops immediately and no further feed is dispensed after Bin Empty detection.</t>
  </si>
  <si>
    <t>MF-BF-025</t>
  </si>
  <si>
    <t>Verify Bin Empty Alarm Generation</t>
  </si>
  <si>
    <t>Verify Bin Empty notification</t>
  </si>
  <si>
    <t>Bin Empty condition generated</t>
  </si>
  <si>
    <t>1. Trigger Bin Empty.
2. Observe controller, application, or HMI.</t>
  </si>
  <si>
    <t>Bin Empty alarm/notification is generated and displayed to the operator.</t>
  </si>
  <si>
    <t>MF-BF-026</t>
  </si>
  <si>
    <t>Verify Schedule Handling After Returning to Bank</t>
  </si>
  <si>
    <t>Verify system behavior after returning to bank due to Bin Empty</t>
  </si>
  <si>
    <t>Feeder has returned to the bank after Bin Empty</t>
  </si>
  <si>
    <t>1. Trigger Bin Empty during movement.
2. Allow feeder to return to the bank.
3. Observe system status.</t>
  </si>
  <si>
    <t>Current feeding schedule is terminated safely. System remains in a safe state and waits for operator action or the next valid schedule, as defined by the firmware.</t>
  </si>
  <si>
    <t>MF-BF-027</t>
  </si>
  <si>
    <t>No Feed Case</t>
  </si>
  <si>
    <t>Verify feeder behavior when no feed is available</t>
  </si>
  <si>
    <t>Moving Feeder is powered ON and hopper has no feed</t>
  </si>
  <si>
    <t>1. Power ON feeder.
2. Configure feeding schedule.
3. Start schedule.
4. Observe feed dispensing.
5. Observe feeder movement and system indication.
6. Record results.</t>
  </si>
  <si>
    <t>Feeder detects the no-feed condition as designed and does not continue dispensing without feed. Appropriate indication/alarm is generated.</t>
  </si>
  <si>
    <t>MF-BF-028</t>
  </si>
  <si>
    <t>Motor Current Verification</t>
  </si>
  <si>
    <t>Verify motor current during feeder operation</t>
  </si>
  <si>
    <t>Moving Feeder is installed and operational</t>
  </si>
  <si>
    <t>1. Power ON feeder.
2. Start feeder movement.
3. Measure mover motor current.
4. Start feed motor.
5. Measure feed motor current.
6. Repeat under different operating conditions.
7. Record readings.</t>
  </si>
  <si>
    <t>Mover and feed motor currents remain within the expected operating range without abnormal current increase.</t>
  </si>
  <si>
    <t>MF-BF-029</t>
  </si>
  <si>
    <t>Feed Motor Not Working</t>
  </si>
  <si>
    <t>Verify feeder behavior when feed motor is not functioning</t>
  </si>
  <si>
    <t>Feed motor connected and test condition prepared</t>
  </si>
  <si>
    <t>1. Power ON feeder.
2. Configure feeding schedule.
3. Simulate feed motor failure.
4. Start feeding operation.
5. Observe feeder response.
6. Check alarm/event indication.
7. Record results.</t>
  </si>
  <si>
    <t>Feed motor failure is detected or handled according to defined system behavior without unsafe operation.</t>
  </si>
  <si>
    <t>MF-BF-030</t>
  </si>
  <si>
    <t>Mover Motor Not Working</t>
  </si>
  <si>
    <t>Verify feeder behavior when mover motor is not functioning</t>
  </si>
  <si>
    <t>Mover motor connected and test condition prepared</t>
  </si>
  <si>
    <t>1. Power ON feeder.
2. Configure schedule.
3. Simulate mover motor failure.
4. Start movement command.
5. Observe feeder.
6. Check current and system indication.
7. Record results.</t>
  </si>
  <si>
    <t>Mover motor failure is handled according to system design and feeder does not continue unsafe movement.</t>
  </si>
  <si>
    <t>MF-BF-031</t>
  </si>
  <si>
    <t>Feed and Mover Motor Synchronization</t>
  </si>
  <si>
    <t>Verify correct synchronization between movement and feeding</t>
  </si>
  <si>
    <t>Feeder operational and hopper loaded</t>
  </si>
  <si>
    <t>1. Configure feeding schedule.
2. Start feeder movement.
3. Observe mover motor operation.
4. Verify feeder reaches feeding location.
5. Verify mover stops.
6. Verify feed motor starts.
7. Verify feed dispensing.
8. Verify movement resumes after feeding.</t>
  </si>
  <si>
    <t>Mover and feed motors operate in the correct sequence without incorrect synchronization.</t>
  </si>
  <si>
    <t>MF-BF-032</t>
  </si>
  <si>
    <t>Buttons Check</t>
  </si>
  <si>
    <t>Verify all available physical buttons operate correctly</t>
  </si>
  <si>
    <t>Moving Feeder powered ON and control interface accessible</t>
  </si>
  <si>
    <t>1. Power ON feeder.
2. Press each available button individually.
3. Observe corresponding response.
4. Repeat each button operation.
5. Record results.</t>
  </si>
  <si>
    <t>Each button performs its assigned function correctly and provides the expected response.</t>
  </si>
  <si>
    <t>MF-BF-033</t>
  </si>
  <si>
    <t>Navigation Check</t>
  </si>
  <si>
    <t>Verify navigation through controller menu</t>
  </si>
  <si>
    <t>Controller powered ON</t>
  </si>
  <si>
    <t>1. Power ON controller.
2. Open main menu.
3. Navigate through available options.
4. Use navigation buttons.
5. Open required settings.
6. Return to main screen.
7. Record results.</t>
  </si>
  <si>
    <t>User can navigate through all available menus without incorrect navigation or system hang.</t>
  </si>
  <si>
    <t>MF-BF-034</t>
  </si>
  <si>
    <t>Long Run Test</t>
  </si>
  <si>
    <t>Verify basic functionality during extended operation</t>
  </si>
  <si>
    <t>Moving Feeder installed and operational</t>
  </si>
  <si>
    <t>1. Power ON feeder.
2. Configure normal schedule.
3. Start feeder operation.
4. Run feeder for the defined test duration.
5. Monitor movement, feeding and controller operation.
6. Check for abnormal behavior.
7. Record results.</t>
  </si>
  <si>
    <t>Feeder continues normal operation throughout the test duration without unexpected stopping, restarting, abnormal movement or feeding interruption.</t>
  </si>
  <si>
    <t>MF-BF-035</t>
  </si>
  <si>
    <t>KG Dispensing Time Check</t>
  </si>
  <si>
    <t>Verify dispensing time corresponding to configured feed quantity</t>
  </si>
  <si>
    <t>Hopper loaded and feeder operational</t>
  </si>
  <si>
    <t>1. Configure required feed quantity.
2. Start feeding cycle.
3. Measure dispensing duration.
4. Collect dispensed feed.
5. Weigh feed quantity.
6. Repeat for multiple cycles.
7. Record results.</t>
  </si>
  <si>
    <t>Dispensing time and resulting feed quantity are consistent with configured parameters.</t>
  </si>
  <si>
    <t>MF-BF-036</t>
  </si>
  <si>
    <t>Schedule Functionality</t>
  </si>
  <si>
    <t>Verify feeder executes configured schedules</t>
  </si>
  <si>
    <t>Feeder operational and RTC configured</t>
  </si>
  <si>
    <t>1. Configure feeding schedule.
2. Save schedule.
3. Wait for scheduled start time.
4. Observe feeder operation.
5. Verify feeding cycle.
6. Verify schedule completion.
7. Record results.</t>
  </si>
  <si>
    <t>Feeder executes the configured schedule correctly at the specified time.</t>
  </si>
  <si>
    <t>MF-BF-037</t>
  </si>
  <si>
    <t>Start Functionality</t>
  </si>
  <si>
    <t>Verify feeder starts correctly</t>
  </si>
  <si>
    <t>Feeder powered ON and ready</t>
  </si>
  <si>
    <t>1. Power ON feeder.
2. Select Start command or configured start condition.
3. Activate Start.
4. Observe feeder movement.
5. Verify feeding sequence where applicable.
6. Record results.</t>
  </si>
  <si>
    <t>Feeder starts correctly and performs the expected initial operation.</t>
  </si>
  <si>
    <t>MF-BF-038</t>
  </si>
  <si>
    <t>Stop Functionality</t>
  </si>
  <si>
    <t>Verify feeder stops correctly</t>
  </si>
  <si>
    <t>Feeder is moving</t>
  </si>
  <si>
    <t>1. Start feeder movement.
2. Activate Stop command.
3. Observe mover motor.
4. Verify movement stops.
5. Check controller status.
6. Record results.</t>
  </si>
  <si>
    <t>Feeder stops correctly without abnormal movement and controller indicates the correct state.</t>
  </si>
  <si>
    <t>MF-BF-039</t>
  </si>
  <si>
    <t>End Functionality</t>
  </si>
  <si>
    <t>Verify feeder completes feeding operation correctly</t>
  </si>
  <si>
    <t xml:space="preserve">1. Start scheduled operation.
2. Allow feeder to complete feeding cycles.
3. Observe end condition.
4. Verify feeding stops.
5. Verify feeder reaches the defined end state.
6. Record results.
</t>
  </si>
  <si>
    <t>Feeding operation ends correctly according to the configured schedule and system logic.</t>
  </si>
  <si>
    <t>MF-BF-040</t>
  </si>
  <si>
    <t>Complete Basic Feeding Cycle</t>
  </si>
  <si>
    <t>Verify complete feeder operating sequence</t>
  </si>
  <si>
    <t>Hopper loaded and feeder ready</t>
  </si>
  <si>
    <t xml:space="preserve">1. Configure feeding schedule.
2. Start feeder.
3. Verify movement from bank.
4. Verify feeding location detection.
5. Stop movement.
6. Dispense configured feed quantity.
7. Resume movement if required.
8. Complete schedule.
9. Verify final position.
10. Record results.
</t>
  </si>
  <si>
    <t>Feeder completes the complete movement and feeding sequence correctly without abnormal operation.</t>
  </si>
  <si>
    <t>MF-BF-041</t>
  </si>
  <si>
    <t>In-house Testing</t>
  </si>
  <si>
    <t>Timing Between Start and Stop</t>
  </si>
  <si>
    <t>Verify the time interval between feeder start and stop operation</t>
  </si>
  <si>
    <t>NF powered ON and ready for operation</t>
  </si>
  <si>
    <t>1. Start the feeder operation.
2. Record the start time.
3. Stop the feeder operation.
4. Record the stop time.
5. Compare the measured duration with the configured value.</t>
  </si>
  <si>
    <t>Feeder starts and stops at the configured timing without unintended delay or extended operation.</t>
  </si>
  <si>
    <t>MF-BF-042</t>
  </si>
  <si>
    <t>Timing Between Dispenser Motor and Moving Motor</t>
  </si>
  <si>
    <t>Verify the defined timing sequence between Dispenser Motor and Moving Motor during feeder operation</t>
  </si>
  <si>
    <t>NF assembled and both Dispenser Motor and Moving Motor connected and operational</t>
  </si>
  <si>
    <t>1. Start the feeder operation.
2. Record the Dispenser Motor start time.
3. Record the Moving Motor start time.
4. Measure the time interval between both motor operations.
5. Repeat the operation and record the timing.</t>
  </si>
  <si>
    <t>Dispenser Motor and Moving Motor operate according to the defined sequence and specified timing interval.</t>
  </si>
  <si>
    <t>MF-BF-043</t>
  </si>
  <si>
    <t>Maximum-Load Endurance</t>
  </si>
  <si>
    <t>Verify basic feeding functionality when the NF operates at the maximum defined load</t>
  </si>
  <si>
    <t>NF assembled with maximum defined feed load</t>
  </si>
  <si>
    <t>1. Load the feeder with the maximum defined feed quantity/load.
2. Start feeding operation.
3. Operate the feeder under maximum load.
4. Monitor Doser and Dispenser operation.
5. Record feeding performance and observations.</t>
  </si>
  <si>
    <t>NF operates normally at maximum defined load without interruption, abnormal motor behavior or feeding malfunction.</t>
  </si>
  <si>
    <t>MF-BF-044</t>
  </si>
  <si>
    <t>Doser Motor Stops</t>
  </si>
  <si>
    <t>Verify system behavior when the Doser motor stops during feeding</t>
  </si>
  <si>
    <t>NF feeding operation active</t>
  </si>
  <si>
    <t>1. Start a feeding cycle.
2. Stop or simulate stoppage of the Doser motor.
3. Monitor Dispenser operation and system response.
4. Check fault indication or protection response.
5. Record the result.</t>
  </si>
  <si>
    <t>Doser motor stoppage is detected and the system follows the defined safe operation without unintended feeding.</t>
  </si>
  <si>
    <t>MF-BF-045</t>
  </si>
  <si>
    <t>Dispenser Motor Stops</t>
  </si>
  <si>
    <t>Verify system behavior when the Dispenser motor stops during feeding</t>
  </si>
  <si>
    <t>1. Start a feeding cycle.
2. Stop or simulate stoppage of the Dispenser motor.
3. Monitor Doser operation and system response.
4. Check fault indication or protection response.
5. Record the result.</t>
  </si>
  <si>
    <t>Dispenser motor stoppage is detected and the system follows the defined safe operation without unintended feeding.</t>
  </si>
  <si>
    <t>MF-BF-046</t>
  </si>
  <si>
    <t>Both Doser and Dispenser Motors Stop</t>
  </si>
  <si>
    <t>Verify system behavior when both motors stop during feeding operation</t>
  </si>
  <si>
    <t>1. Start a feeding cycle.
2. Stop or simulate stoppage of both motors.
3. Monitor system response.
4. Check fault indication and feeding status.
5. Record the result.</t>
  </si>
  <si>
    <t>System detects the combined motor stoppage and enters the defined safe state without unintended feeding or system damage.</t>
  </si>
  <si>
    <t>MF-BF-047</t>
  </si>
  <si>
    <t>Motor OFF Cycle – Dispenser Motor OFF and Mover Motor ON</t>
  </si>
  <si>
    <t>Verify that the Dispenser Motor is powered OFF and the Mover Motor is powered ON during the defined motor-off cycle</t>
  </si>
  <si>
    <t>NF assembled and both Dispenser and Mover Motors connected and operational</t>
  </si>
  <si>
    <t>1. Start the feeding operation.
2. Allow the Dispenser Motor to complete the defined dispensing cycle.
3. Power OFF the Dispenser Motor.
4. Power ON the Mover Motor during the motor-off cycle.
5. Monitor both motor states and record the timing.</t>
  </si>
  <si>
    <t>Dispenser Motor remains OFF during the defined motor-off cycle and Mover Motor powers ON as per the defined sequence and timing. No unintended Dispenser Motor operation occurs.</t>
  </si>
  <si>
    <t>SL.NO</t>
  </si>
  <si>
    <t>Test place</t>
  </si>
  <si>
    <t>D1-SCH-001</t>
  </si>
  <si>
    <t>Field</t>
  </si>
  <si>
    <t>Verify feeder executes Schedule-1 correctly</t>
  </si>
  <si>
    <t>Day-1 schedule configured, feeder ON, hopper filled</t>
  </si>
  <si>
    <t>1. Wait until 10:00 AM.
2. Observe feeder movement.
3. Verify feed dispensing.
4. Monitor until 10:55 AM.</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</si>
  <si>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0.32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34.4-minute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</si>
  <si>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D1-SCH-002</t>
  </si>
  <si>
    <t>Verify feeder executes Schedule-2 correctly</t>
  </si>
  <si>
    <t>1. Wait until 11:00 AM.
2. Observe movement.
3. Verify dispensing.
4. Monitor until 11:55 AM.</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</si>
  <si>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0.34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32.4-minute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</si>
  <si>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D1-SCH-003</t>
  </si>
  <si>
    <t>Verify feeder executes Schedule-3 correctly</t>
  </si>
  <si>
    <t>1. Wait until 12:00 PM.
2. Observe feeder operation.
3. Verify feed quantity.</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</si>
  <si>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0.36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30.6-minute FG</t>
    </r>
    <r>
      <rPr>
        <sz val="11"/>
        <color theme="1"/>
        <rFont val="Aptos Narrow"/>
        <family val="2"/>
        <scheme val="minor"/>
      </rPr>
      <t>, and completes successfully.</t>
    </r>
  </si>
  <si>
    <t>D1-SCH-004</t>
  </si>
  <si>
    <t>Verify feeder executes Schedule-4 correctly</t>
  </si>
  <si>
    <t>1. Wait until 1:00 PM.
2. Observe feeder movement.
3. Monitor until 2:55 PM.</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</si>
  <si>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0.77 kg</t>
    </r>
    <r>
      <rPr>
        <sz val="11"/>
        <color theme="1"/>
        <rFont val="Aptos Narrow"/>
        <family val="2"/>
        <scheme val="minor"/>
      </rPr>
      <t xml:space="preserve">, maintains a </t>
    </r>
    <r>
      <rPr>
        <b/>
        <sz val="11"/>
        <color theme="1"/>
        <rFont val="Aptos Narrow"/>
        <family val="2"/>
        <scheme val="minor"/>
      </rPr>
      <t>29.9-minute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</si>
  <si>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D1-SCH-005</t>
  </si>
  <si>
    <t>Verify feeder executes Schedule-5 correctly</t>
  </si>
  <si>
    <t>1. Wait until 3:00 PM.
2. Observe feeder operation.
3. Verify feed quantity and timing.</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</si>
  <si>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0.81 kg</t>
    </r>
    <r>
      <rPr>
        <sz val="11"/>
        <color theme="1"/>
        <rFont val="Aptos Narrow"/>
        <family val="2"/>
        <scheme val="minor"/>
      </rPr>
      <t xml:space="preserve"> with </t>
    </r>
    <r>
      <rPr>
        <b/>
        <sz val="11"/>
        <color theme="1"/>
        <rFont val="Aptos Narrow"/>
        <family val="2"/>
        <scheme val="minor"/>
      </rPr>
      <t>28.4-minute FG</t>
    </r>
    <r>
      <rPr>
        <sz val="11"/>
        <color theme="1"/>
        <rFont val="Aptos Narrow"/>
        <family val="2"/>
        <scheme val="minor"/>
      </rPr>
      <t>, and completes the schedule successfully.</t>
    </r>
  </si>
  <si>
    <t>D1-SCH-006</t>
  </si>
  <si>
    <t>Verify feeder executes Schedule-6 correctly</t>
  </si>
  <si>
    <t>1. Wait until 5:00 PM.
2. Observe feeder operation.
3. Verify completion.</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</si>
  <si>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0.78 kg</t>
    </r>
    <r>
      <rPr>
        <sz val="11"/>
        <color theme="1"/>
        <rFont val="Aptos Narrow"/>
        <family val="2"/>
        <scheme val="minor"/>
      </rPr>
      <t xml:space="preserve"> with </t>
    </r>
    <r>
      <rPr>
        <b/>
        <sz val="11"/>
        <color theme="1"/>
        <rFont val="Aptos Narrow"/>
        <family val="2"/>
        <scheme val="minor"/>
      </rPr>
      <t>29.5-minute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</si>
  <si>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D1-SCH-007</t>
  </si>
  <si>
    <t>Verify feeder executes Schedule-7 correctly</t>
  </si>
  <si>
    <t>1. Wait until 7:00 PM.
2. Observe movement.
3. Verify dispensing cycle.</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</si>
  <si>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0.72 kg</t>
    </r>
    <r>
      <rPr>
        <sz val="11"/>
        <color theme="1"/>
        <rFont val="Aptos Narrow"/>
        <family val="2"/>
        <scheme val="minor"/>
      </rPr>
      <t xml:space="preserve"> with </t>
    </r>
    <r>
      <rPr>
        <b/>
        <sz val="11"/>
        <color theme="1"/>
        <rFont val="Aptos Narrow"/>
        <family val="2"/>
        <scheme val="minor"/>
      </rPr>
      <t>31.9-minute FG</t>
    </r>
    <r>
      <rPr>
        <sz val="11"/>
        <color theme="1"/>
        <rFont val="Aptos Narrow"/>
        <family val="2"/>
        <scheme val="minor"/>
      </rPr>
      <t>, and completes the schedule successfully.</t>
    </r>
  </si>
  <si>
    <t>D1-SCH-008</t>
  </si>
  <si>
    <t>Verify feeder executes Schedule-8 correctly</t>
  </si>
  <si>
    <t>1. Wait until 9:00 PM.
2. Observe feeder operation.
3. Verify schedule completion.</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</si>
  <si>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0.69 kg</t>
    </r>
    <r>
      <rPr>
        <sz val="11"/>
        <color theme="1"/>
        <rFont val="Aptos Narrow"/>
        <family val="2"/>
        <scheme val="minor"/>
      </rPr>
      <t xml:space="preserve"> with </t>
    </r>
    <r>
      <rPr>
        <b/>
        <sz val="11"/>
        <color theme="1"/>
        <rFont val="Aptos Narrow"/>
        <family val="2"/>
        <scheme val="minor"/>
      </rPr>
      <t>34.8-minute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</si>
  <si>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D15-SCH-001</t>
  </si>
  <si>
    <t>Day-15 schedule configured, feeder ON, hopper filled</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</si>
  <si>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2.47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4.5-minute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</si>
  <si>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D15-SCH-002</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</si>
  <si>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2.62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4.2-minute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</si>
  <si>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D15-SCH-003</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</si>
  <si>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2.77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4.0-minute FG</t>
    </r>
    <r>
      <rPr>
        <sz val="11"/>
        <color theme="1"/>
        <rFont val="Aptos Narrow"/>
        <family val="2"/>
        <scheme val="minor"/>
      </rPr>
      <t>, and completes successfully.</t>
    </r>
  </si>
  <si>
    <t>D15-SCH-004</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</si>
  <si>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5.94 kg</t>
    </r>
    <r>
      <rPr>
        <sz val="11"/>
        <color theme="1"/>
        <rFont val="Aptos Narrow"/>
        <family val="2"/>
        <scheme val="minor"/>
      </rPr>
      <t xml:space="preserve">, maintains a </t>
    </r>
    <r>
      <rPr>
        <b/>
        <sz val="11"/>
        <color theme="1"/>
        <rFont val="Aptos Narrow"/>
        <family val="2"/>
        <scheme val="minor"/>
      </rPr>
      <t>3.9-minute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</si>
  <si>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D15-SCH-005</t>
  </si>
  <si>
    <t>1. Wait until 3:00 PM.
2. Observe feeder operation.
3. Verify feed quantity and timing</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</si>
  <si>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6.20 kg</t>
    </r>
    <r>
      <rPr>
        <sz val="11"/>
        <color theme="1"/>
        <rFont val="Aptos Narrow"/>
        <family val="2"/>
        <scheme val="minor"/>
      </rPr>
      <t xml:space="preserve"> with </t>
    </r>
    <r>
      <rPr>
        <b/>
        <sz val="11"/>
        <color theme="1"/>
        <rFont val="Aptos Narrow"/>
        <family val="2"/>
        <scheme val="minor"/>
      </rPr>
      <t>3.7-minute FG</t>
    </r>
    <r>
      <rPr>
        <sz val="11"/>
        <color theme="1"/>
        <rFont val="Aptos Narrow"/>
        <family val="2"/>
        <scheme val="minor"/>
      </rPr>
      <t>, and completes the schedule successfully.</t>
    </r>
  </si>
  <si>
    <t>D15-SCH-006</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</si>
  <si>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6.01 kg</t>
    </r>
    <r>
      <rPr>
        <sz val="11"/>
        <color theme="1"/>
        <rFont val="Aptos Narrow"/>
        <family val="2"/>
        <scheme val="minor"/>
      </rPr>
      <t xml:space="preserve"> with </t>
    </r>
    <r>
      <rPr>
        <b/>
        <sz val="11"/>
        <color theme="1"/>
        <rFont val="Aptos Narrow"/>
        <family val="2"/>
        <scheme val="minor"/>
      </rPr>
      <t>3.8-minute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</si>
  <si>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D15-SCH-007</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</si>
  <si>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5.57 kg</t>
    </r>
    <r>
      <rPr>
        <sz val="11"/>
        <color theme="1"/>
        <rFont val="Aptos Narrow"/>
        <family val="2"/>
        <scheme val="minor"/>
      </rPr>
      <t xml:space="preserve"> with </t>
    </r>
    <r>
      <rPr>
        <b/>
        <sz val="11"/>
        <color theme="1"/>
        <rFont val="Aptos Narrow"/>
        <family val="2"/>
        <scheme val="minor"/>
      </rPr>
      <t>4.1-minute FG</t>
    </r>
    <r>
      <rPr>
        <sz val="11"/>
        <color theme="1"/>
        <rFont val="Aptos Narrow"/>
        <family val="2"/>
        <scheme val="minor"/>
      </rPr>
      <t>, and completes the schedule successfully.</t>
    </r>
  </si>
  <si>
    <t>D15-SCH-008</t>
  </si>
  <si>
    <t>1. Wait until 9:00 PM.
2. Observe feeder operation.
3. Verify schedule completion</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</si>
  <si>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5.31 kg</t>
    </r>
    <r>
      <rPr>
        <sz val="11"/>
        <color theme="1"/>
        <rFont val="Aptos Narrow"/>
        <family val="2"/>
        <scheme val="minor"/>
      </rPr>
      <t xml:space="preserve"> with </t>
    </r>
    <r>
      <rPr>
        <b/>
        <sz val="11"/>
        <color theme="1"/>
        <rFont val="Aptos Narrow"/>
        <family val="2"/>
        <scheme val="minor"/>
      </rPr>
      <t>4.5-minute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</si>
  <si>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D30-SCH-001</t>
  </si>
  <si>
    <t>Day-30 schedule configured, feeder ON, hopper filled</t>
  </si>
  <si>
    <r>
      <t xml:space="preserve">Feeder starts automatically at </t>
    </r>
    <r>
      <rPr>
        <b/>
        <sz val="11"/>
        <color theme="1"/>
        <rFont val="Aptos Narrow"/>
        <family val="2"/>
        <scheme val="minor"/>
      </rPr>
      <t>10:00 AM</t>
    </r>
    <r>
      <rPr>
        <sz val="11"/>
        <color theme="1"/>
        <rFont val="Aptos Narrow"/>
        <family val="2"/>
        <scheme val="minor"/>
      </rPr>
      <t xml:space="preserve">, dispenses </t>
    </r>
    <r>
      <rPr>
        <b/>
        <sz val="11"/>
        <color theme="1"/>
        <rFont val="Aptos Narrow"/>
        <family val="2"/>
        <scheme val="minor"/>
      </rPr>
      <t>5.49 kg</t>
    </r>
    <r>
      <rPr>
        <sz val="11"/>
        <color theme="1"/>
        <rFont val="Aptos Narrow"/>
        <family val="2"/>
        <scheme val="minor"/>
      </rPr>
      <t xml:space="preserve"> in </t>
    </r>
    <r>
      <rPr>
        <b/>
        <sz val="11"/>
        <color theme="1"/>
        <rFont val="Aptos Narrow"/>
        <family val="2"/>
        <scheme val="minor"/>
      </rPr>
      <t>200 g</t>
    </r>
    <r>
      <rPr>
        <sz val="11"/>
        <color theme="1"/>
        <rFont val="Aptos Narrow"/>
        <family val="2"/>
        <scheme val="minor"/>
      </rPr>
      <t xml:space="preserve"> cycles with a </t>
    </r>
    <r>
      <rPr>
        <b/>
        <sz val="11"/>
        <color theme="1"/>
        <rFont val="Aptos Narrow"/>
        <family val="2"/>
        <scheme val="minor"/>
      </rPr>
      <t>2.0-minute FG</t>
    </r>
    <r>
      <rPr>
        <sz val="11"/>
        <color theme="1"/>
        <rFont val="Aptos Narrow"/>
        <family val="2"/>
        <scheme val="minor"/>
      </rPr>
      <t xml:space="preserve">, and stops at </t>
    </r>
    <r>
      <rPr>
        <b/>
        <sz val="11"/>
        <color theme="1"/>
        <rFont val="Aptos Narrow"/>
        <family val="2"/>
        <scheme val="minor"/>
      </rPr>
      <t>10:55 AM</t>
    </r>
    <r>
      <rPr>
        <sz val="11"/>
        <color theme="1"/>
        <rFont val="Aptos Narrow"/>
        <family val="2"/>
        <scheme val="minor"/>
      </rPr>
      <t>.</t>
    </r>
  </si>
  <si>
    <t>D30-SCH-002</t>
  </si>
  <si>
    <r>
      <t xml:space="preserve">Feeder starts at </t>
    </r>
    <r>
      <rPr>
        <b/>
        <sz val="11"/>
        <color theme="1"/>
        <rFont val="Aptos Narrow"/>
        <family val="2"/>
        <scheme val="minor"/>
      </rPr>
      <t>11:00 AM</t>
    </r>
    <r>
      <rPr>
        <sz val="11"/>
        <color theme="1"/>
        <rFont val="Aptos Narrow"/>
        <family val="2"/>
        <scheme val="minor"/>
      </rPr>
      <t xml:space="preserve">, dispenses </t>
    </r>
    <r>
      <rPr>
        <b/>
        <sz val="11"/>
        <color theme="1"/>
        <rFont val="Aptos Narrow"/>
        <family val="2"/>
        <scheme val="minor"/>
      </rPr>
      <t>5.81 kg</t>
    </r>
    <r>
      <rPr>
        <sz val="11"/>
        <color theme="1"/>
        <rFont val="Aptos Narrow"/>
        <family val="2"/>
        <scheme val="minor"/>
      </rPr>
      <t xml:space="preserve"> with </t>
    </r>
    <r>
      <rPr>
        <b/>
        <sz val="11"/>
        <color theme="1"/>
        <rFont val="Aptos Narrow"/>
        <family val="2"/>
        <scheme val="minor"/>
      </rPr>
      <t>200 g OCF</t>
    </r>
    <r>
      <rPr>
        <sz val="11"/>
        <color theme="1"/>
        <rFont val="Aptos Narrow"/>
        <family val="2"/>
        <scheme val="minor"/>
      </rPr>
      <t xml:space="preserve"> and </t>
    </r>
    <r>
      <rPr>
        <b/>
        <sz val="11"/>
        <color theme="1"/>
        <rFont val="Aptos Narrow"/>
        <family val="2"/>
        <scheme val="minor"/>
      </rPr>
      <t>1.9-minute FG</t>
    </r>
    <r>
      <rPr>
        <sz val="11"/>
        <color theme="1"/>
        <rFont val="Aptos Narrow"/>
        <family val="2"/>
        <scheme val="minor"/>
      </rPr>
      <t xml:space="preserve">, then stops at </t>
    </r>
    <r>
      <rPr>
        <b/>
        <sz val="11"/>
        <color theme="1"/>
        <rFont val="Aptos Narrow"/>
        <family val="2"/>
        <scheme val="minor"/>
      </rPr>
      <t>11:55 AM</t>
    </r>
    <r>
      <rPr>
        <sz val="11"/>
        <color theme="1"/>
        <rFont val="Aptos Narrow"/>
        <family val="2"/>
        <scheme val="minor"/>
      </rPr>
      <t>.</t>
    </r>
  </si>
  <si>
    <t>D30-SCH-003</t>
  </si>
  <si>
    <r>
      <t xml:space="preserve">Feeder starts at </t>
    </r>
    <r>
      <rPr>
        <b/>
        <sz val="11"/>
        <color theme="1"/>
        <rFont val="Aptos Narrow"/>
        <family val="2"/>
        <scheme val="minor"/>
      </rPr>
      <t>12:00 PM</t>
    </r>
    <r>
      <rPr>
        <sz val="11"/>
        <color theme="1"/>
        <rFont val="Aptos Narrow"/>
        <family val="2"/>
        <scheme val="minor"/>
      </rPr>
      <t xml:space="preserve">, dispenses </t>
    </r>
    <r>
      <rPr>
        <b/>
        <sz val="11"/>
        <color theme="1"/>
        <rFont val="Aptos Narrow"/>
        <family val="2"/>
        <scheme val="minor"/>
      </rPr>
      <t>6.14 kg</t>
    </r>
    <r>
      <rPr>
        <sz val="11"/>
        <color theme="1"/>
        <rFont val="Aptos Narrow"/>
        <family val="2"/>
        <scheme val="minor"/>
      </rPr>
      <t xml:space="preserve"> using </t>
    </r>
    <r>
      <rPr>
        <b/>
        <sz val="11"/>
        <color theme="1"/>
        <rFont val="Aptos Narrow"/>
        <family val="2"/>
        <scheme val="minor"/>
      </rPr>
      <t>200 g OCF</t>
    </r>
    <r>
      <rPr>
        <sz val="11"/>
        <color theme="1"/>
        <rFont val="Aptos Narrow"/>
        <family val="2"/>
        <scheme val="minor"/>
      </rPr>
      <t xml:space="preserve"> with a </t>
    </r>
    <r>
      <rPr>
        <b/>
        <sz val="11"/>
        <color theme="1"/>
        <rFont val="Aptos Narrow"/>
        <family val="2"/>
        <scheme val="minor"/>
      </rPr>
      <t>1.8-minute FG</t>
    </r>
    <r>
      <rPr>
        <sz val="11"/>
        <color theme="1"/>
        <rFont val="Aptos Narrow"/>
        <family val="2"/>
        <scheme val="minor"/>
      </rPr>
      <t>, and completes successfully.</t>
    </r>
  </si>
  <si>
    <t>D30-SCH-004</t>
  </si>
  <si>
    <r>
      <t xml:space="preserve">Feeder starts at </t>
    </r>
    <r>
      <rPr>
        <b/>
        <sz val="11"/>
        <color theme="1"/>
        <rFont val="Aptos Narrow"/>
        <family val="2"/>
        <scheme val="minor"/>
      </rPr>
      <t>1:00 PM</t>
    </r>
    <r>
      <rPr>
        <sz val="11"/>
        <color theme="1"/>
        <rFont val="Aptos Narrow"/>
        <family val="2"/>
        <scheme val="minor"/>
      </rPr>
      <t xml:space="preserve">, dispenses </t>
    </r>
    <r>
      <rPr>
        <b/>
        <sz val="11"/>
        <color theme="1"/>
        <rFont val="Aptos Narrow"/>
        <family val="2"/>
        <scheme val="minor"/>
      </rPr>
      <t>13.10 kg</t>
    </r>
    <r>
      <rPr>
        <sz val="11"/>
        <color theme="1"/>
        <rFont val="Aptos Narrow"/>
        <family val="2"/>
        <scheme val="minor"/>
      </rPr>
      <t xml:space="preserve">, maintains a </t>
    </r>
    <r>
      <rPr>
        <b/>
        <sz val="11"/>
        <color theme="1"/>
        <rFont val="Aptos Narrow"/>
        <family val="2"/>
        <scheme val="minor"/>
      </rPr>
      <t>1.7-minute FG</t>
    </r>
    <r>
      <rPr>
        <sz val="11"/>
        <color theme="1"/>
        <rFont val="Aptos Narrow"/>
        <family val="2"/>
        <scheme val="minor"/>
      </rPr>
      <t xml:space="preserve">, and stops automatically at </t>
    </r>
    <r>
      <rPr>
        <b/>
        <sz val="11"/>
        <color theme="1"/>
        <rFont val="Aptos Narrow"/>
        <family val="2"/>
        <scheme val="minor"/>
      </rPr>
      <t>2:55 PM</t>
    </r>
    <r>
      <rPr>
        <sz val="11"/>
        <color theme="1"/>
        <rFont val="Aptos Narrow"/>
        <family val="2"/>
        <scheme val="minor"/>
      </rPr>
      <t>.</t>
    </r>
  </si>
  <si>
    <t>D30-SCH-005</t>
  </si>
  <si>
    <r>
      <t xml:space="preserve">Feeder starts at </t>
    </r>
    <r>
      <rPr>
        <b/>
        <sz val="11"/>
        <color theme="1"/>
        <rFont val="Aptos Narrow"/>
        <family val="2"/>
        <scheme val="minor"/>
      </rPr>
      <t>3:00 PM</t>
    </r>
    <r>
      <rPr>
        <sz val="11"/>
        <color theme="1"/>
        <rFont val="Aptos Narrow"/>
        <family val="2"/>
        <scheme val="minor"/>
      </rPr>
      <t xml:space="preserve">, dispenses </t>
    </r>
    <r>
      <rPr>
        <b/>
        <sz val="11"/>
        <color theme="1"/>
        <rFont val="Aptos Narrow"/>
        <family val="2"/>
        <scheme val="minor"/>
      </rPr>
      <t>13.70 kg</t>
    </r>
    <r>
      <rPr>
        <sz val="11"/>
        <color theme="1"/>
        <rFont val="Aptos Narrow"/>
        <family val="2"/>
        <scheme val="minor"/>
      </rPr>
      <t xml:space="preserve"> with </t>
    </r>
    <r>
      <rPr>
        <b/>
        <sz val="11"/>
        <color theme="1"/>
        <rFont val="Aptos Narrow"/>
        <family val="2"/>
        <scheme val="minor"/>
      </rPr>
      <t>1.7-minute FG</t>
    </r>
    <r>
      <rPr>
        <sz val="11"/>
        <color theme="1"/>
        <rFont val="Aptos Narrow"/>
        <family val="2"/>
        <scheme val="minor"/>
      </rPr>
      <t>, and completes the schedule successfully.</t>
    </r>
  </si>
  <si>
    <t>D30-SCH-006</t>
  </si>
  <si>
    <r>
      <t xml:space="preserve">Feeder starts at </t>
    </r>
    <r>
      <rPr>
        <b/>
        <sz val="11"/>
        <color theme="1"/>
        <rFont val="Aptos Narrow"/>
        <family val="2"/>
        <scheme val="minor"/>
      </rPr>
      <t>5:00 PM</t>
    </r>
    <r>
      <rPr>
        <sz val="11"/>
        <color theme="1"/>
        <rFont val="Aptos Narrow"/>
        <family val="2"/>
        <scheme val="minor"/>
      </rPr>
      <t xml:space="preserve">, dispenses </t>
    </r>
    <r>
      <rPr>
        <b/>
        <sz val="11"/>
        <color theme="1"/>
        <rFont val="Aptos Narrow"/>
        <family val="2"/>
        <scheme val="minor"/>
      </rPr>
      <t>13.30 kg</t>
    </r>
    <r>
      <rPr>
        <sz val="11"/>
        <color theme="1"/>
        <rFont val="Aptos Narrow"/>
        <family val="2"/>
        <scheme val="minor"/>
      </rPr>
      <t xml:space="preserve"> with </t>
    </r>
    <r>
      <rPr>
        <b/>
        <sz val="11"/>
        <color theme="1"/>
        <rFont val="Aptos Narrow"/>
        <family val="2"/>
        <scheme val="minor"/>
      </rPr>
      <t>1.7-minute FG</t>
    </r>
    <r>
      <rPr>
        <sz val="11"/>
        <color theme="1"/>
        <rFont val="Aptos Narrow"/>
        <family val="2"/>
        <scheme val="minor"/>
      </rPr>
      <t xml:space="preserve">, and stops automatically at </t>
    </r>
    <r>
      <rPr>
        <b/>
        <sz val="11"/>
        <color theme="1"/>
        <rFont val="Aptos Narrow"/>
        <family val="2"/>
        <scheme val="minor"/>
      </rPr>
      <t>6:55 PM</t>
    </r>
    <r>
      <rPr>
        <sz val="11"/>
        <color theme="1"/>
        <rFont val="Aptos Narrow"/>
        <family val="2"/>
        <scheme val="minor"/>
      </rPr>
      <t>.</t>
    </r>
  </si>
  <si>
    <t>D30-SCH-007</t>
  </si>
  <si>
    <r>
      <t xml:space="preserve">Feeder starts at </t>
    </r>
    <r>
      <rPr>
        <b/>
        <sz val="11"/>
        <color theme="1"/>
        <rFont val="Aptos Narrow"/>
        <family val="2"/>
        <scheme val="minor"/>
      </rPr>
      <t>7:00 PM</t>
    </r>
    <r>
      <rPr>
        <sz val="11"/>
        <color theme="1"/>
        <rFont val="Aptos Narrow"/>
        <family val="2"/>
        <scheme val="minor"/>
      </rPr>
      <t xml:space="preserve">, dispenses </t>
    </r>
    <r>
      <rPr>
        <b/>
        <sz val="11"/>
        <color theme="1"/>
        <rFont val="Aptos Narrow"/>
        <family val="2"/>
        <scheme val="minor"/>
      </rPr>
      <t>12.30 kg</t>
    </r>
    <r>
      <rPr>
        <sz val="11"/>
        <color theme="1"/>
        <rFont val="Aptos Narrow"/>
        <family val="2"/>
        <scheme val="minor"/>
      </rPr>
      <t xml:space="preserve"> with </t>
    </r>
    <r>
      <rPr>
        <b/>
        <sz val="11"/>
        <color theme="1"/>
        <rFont val="Aptos Narrow"/>
        <family val="2"/>
        <scheme val="minor"/>
      </rPr>
      <t>1.9-minute FG</t>
    </r>
    <r>
      <rPr>
        <sz val="11"/>
        <color theme="1"/>
        <rFont val="Aptos Narrow"/>
        <family val="2"/>
        <scheme val="minor"/>
      </rPr>
      <t>, and completes the schedule successfully.</t>
    </r>
  </si>
  <si>
    <t>D30-SCH-008</t>
  </si>
  <si>
    <r>
      <t xml:space="preserve">Feeder starts at </t>
    </r>
    <r>
      <rPr>
        <b/>
        <sz val="11"/>
        <color theme="1"/>
        <rFont val="Aptos Narrow"/>
        <family val="2"/>
        <scheme val="minor"/>
      </rPr>
      <t>9:00 PM</t>
    </r>
    <r>
      <rPr>
        <sz val="11"/>
        <color theme="1"/>
        <rFont val="Aptos Narrow"/>
        <family val="2"/>
        <scheme val="minor"/>
      </rPr>
      <t xml:space="preserve">, dispenses </t>
    </r>
    <r>
      <rPr>
        <b/>
        <sz val="11"/>
        <color theme="1"/>
        <rFont val="Aptos Narrow"/>
        <family val="2"/>
        <scheme val="minor"/>
      </rPr>
      <t>11.70 kg</t>
    </r>
    <r>
      <rPr>
        <sz val="11"/>
        <color theme="1"/>
        <rFont val="Aptos Narrow"/>
        <family val="2"/>
        <scheme val="minor"/>
      </rPr>
      <t xml:space="preserve"> with </t>
    </r>
    <r>
      <rPr>
        <b/>
        <sz val="11"/>
        <color theme="1"/>
        <rFont val="Aptos Narrow"/>
        <family val="2"/>
        <scheme val="minor"/>
      </rPr>
      <t>2.0-minute FG</t>
    </r>
    <r>
      <rPr>
        <sz val="11"/>
        <color theme="1"/>
        <rFont val="Aptos Narrow"/>
        <family val="2"/>
        <scheme val="minor"/>
      </rPr>
      <t xml:space="preserve">, and stops automatically at </t>
    </r>
    <r>
      <rPr>
        <b/>
        <sz val="11"/>
        <color theme="1"/>
        <rFont val="Aptos Narrow"/>
        <family val="2"/>
        <scheme val="minor"/>
      </rPr>
      <t>11:00 PM</t>
    </r>
    <r>
      <rPr>
        <sz val="11"/>
        <color theme="1"/>
        <rFont val="Aptos Narrow"/>
        <family val="2"/>
        <scheme val="minor"/>
      </rPr>
      <t>.</t>
    </r>
  </si>
  <si>
    <t>Place of testing</t>
  </si>
  <si>
    <t>MF-MEC-001</t>
  </si>
  <si>
    <t>Mechanical</t>
  </si>
  <si>
    <t>In House Testing Testing</t>
  </si>
  <si>
    <t>Verify overall structure Aligement</t>
  </si>
  <si>
    <t>Verify the feeder all parts aligement correctly</t>
  </si>
  <si>
    <t>Feeder structure installed correctly</t>
  </si>
  <si>
    <t>1. Inspect the structure installions.
2. Measure the structure level.
3. Move the feeder from bank to end position.
4. Observe Feeder movement.
5. Record the observations.</t>
  </si>
  <si>
    <t>Feeder moves forward and backward  smoothly without misalignment or derailment.</t>
  </si>
  <si>
    <t>MF-MEC-002</t>
  </si>
  <si>
    <t>Verify Floters Alignment</t>
  </si>
  <si>
    <t xml:space="preserve">Verify flotes are aligned correctly </t>
  </si>
  <si>
    <t>Feeder installed</t>
  </si>
  <si>
    <t xml:space="preserve">1. Inspect Floter alignment.
2. Move feeder forward.
3. Observe steadyness of the structure.
4. Return feeder to bank.
5. Record results.
</t>
  </si>
  <si>
    <t>Floters remain properly aligned throughout movement.</t>
  </si>
  <si>
    <t>MF-MEC-003</t>
  </si>
  <si>
    <t>Verify Wheel Rotation</t>
  </si>
  <si>
    <t>Verify wheels rotate freely during movement</t>
  </si>
  <si>
    <t>Feeder ready</t>
  </si>
  <si>
    <t xml:space="preserve">1. Start feeder movement.
2. Observe wheel rotation.
3. Check for slipping.
4. Complete one travel cycle.
5. Record observations.
</t>
  </si>
  <si>
    <t>Wheels rotate freely without binding or slipping.</t>
  </si>
  <si>
    <t>MF-MECH-004</t>
  </si>
  <si>
    <t xml:space="preserve">Field Testing Testing </t>
  </si>
  <si>
    <t>Track Movement Test</t>
  </si>
  <si>
    <t>Verify feeder moves smoothly on track</t>
  </si>
  <si>
    <t>"1. Start feeder movement
2. Move forward/backward
3. Observe vibration
4. Record"</t>
  </si>
  <si>
    <t>Feeder moves smoothly without obstruction</t>
  </si>
  <si>
    <t>MF-MEC-005</t>
  </si>
  <si>
    <t>Verify Motor Mounting</t>
  </si>
  <si>
    <t>Verify motor mounting is secure</t>
  </si>
  <si>
    <t>Motor installed</t>
  </si>
  <si>
    <t xml:space="preserve">1. Inspect motor mounting bolts.
2. Start feeder.
3. Observe motor vibration.
4. Stop feeder.
5. Check mounting again.
</t>
  </si>
  <si>
    <t>Motor remains securely mounted with no looseness.</t>
  </si>
  <si>
    <t>MF-MEC-006</t>
  </si>
  <si>
    <t>Verify Dust Guard Alignment</t>
  </si>
  <si>
    <t>Verify dust guard does not obstruct feeder movement</t>
  </si>
  <si>
    <t>Dust guard installed</t>
  </si>
  <si>
    <t>1. Inspect dust guard alignment.
2. Move feeder through full travel.
3. Observe for rubbing/contact.
4. Inspect clearances.
5. Record results.</t>
  </si>
  <si>
    <t>Dust guard does not interfere with feeder movement.</t>
  </si>
  <si>
    <t>MF-MEC-007</t>
  </si>
  <si>
    <t>Verify PVC Motor Cover Fitment</t>
  </si>
  <si>
    <t>Verify PVC motor cover is securely installed</t>
  </si>
  <si>
    <t>PVC cover installed</t>
  </si>
  <si>
    <t>1. Inspect PVC cover.
2. Run feeder.
3. Observe vibration and clearance.
4. Check cover fixing.
5. Record observations.</t>
  </si>
  <si>
    <t>PVC cover remains secure and provides sufficient clearance for cooling.</t>
  </si>
  <si>
    <t>MF-MEC-008</t>
  </si>
  <si>
    <t>Verify Hopper Mounting</t>
  </si>
  <si>
    <t>Verify hopper is securely mounted</t>
  </si>
  <si>
    <t>Hopper installed</t>
  </si>
  <si>
    <t>1. Inspect hopper fasteners.
2. Fill hopper with feed.
3. Move feeder.
4. Observe hopper stability.
5. Record results.</t>
  </si>
  <si>
    <t>Hopper remains securely mounted without excessive movement.</t>
  </si>
  <si>
    <t>MF-MEC-009</t>
  </si>
  <si>
    <t>Verify Structural Stability</t>
  </si>
  <si>
    <t>Verify feeder frame remains stable during operation</t>
  </si>
  <si>
    <t>Feeder assembled</t>
  </si>
  <si>
    <t>1. Start feeder.
2. Observe frame during travel.
3. Check for excessive vibration.
4. Complete one cycle.
5. Inspect frame.</t>
  </si>
  <si>
    <t>Frame remains stable without deformation or abnormal vibration.</t>
  </si>
  <si>
    <t>MF-MEC-010</t>
  </si>
  <si>
    <t>Verify end Stop Position</t>
  </si>
  <si>
    <t>Verify feeder stops correctly at the mechanical end position</t>
  </si>
  <si>
    <t>End stop installed</t>
  </si>
  <si>
    <t>1. Start feeder movement.
2. Allow feeder to reach end position.
3. Observe stopping action.
4. Inspect end stop.
5. Record observations.</t>
  </si>
  <si>
    <t>Feeder stops accurately at the end position without impact damage and start returning back.</t>
  </si>
  <si>
    <t>MF-MEC-011</t>
  </si>
  <si>
    <t>Verify Fastener Tightness</t>
  </si>
  <si>
    <t>Verify all structural fasteners are properly tightened</t>
  </si>
  <si>
    <t>1. Inspect all bolts and nuts.
2. Check torque using a torque wrench.
3. Operate feeder.
4. Reinspect fasteners.
5. Record observations.</t>
  </si>
  <si>
    <t>All fasteners remain secure with no loosening.</t>
  </si>
  <si>
    <t>MF-MEC-012</t>
  </si>
  <si>
    <t>Verify Bearing Condition</t>
  </si>
  <si>
    <t>Verify bearings rotate smoothly</t>
  </si>
  <si>
    <t xml:space="preserve">1. Rotate wheels manually.
2. Start feeder.
3. Observe bearing noise.
4. Inspect bearing temperature.
5. Record results.
</t>
  </si>
  <si>
    <t>Bearings rotate smoothly without abnormal noise.</t>
  </si>
  <si>
    <t>MF-MEC-013</t>
  </si>
  <si>
    <t>Verify Shaft Alignment</t>
  </si>
  <si>
    <t>Verify motor and drive shaft alignment</t>
  </si>
  <si>
    <t>System assembled</t>
  </si>
  <si>
    <t xml:space="preserve">1. Inspect shaft alignment.
2. Run feeder.
3. Observe vibration
.4. Stop feeder.
5. Record alignment.
</t>
  </si>
  <si>
    <t>Shaft remains aligned without wobbling.</t>
  </si>
  <si>
    <t>MF-MEC-014</t>
  </si>
  <si>
    <t>Verify Roller Operation</t>
  </si>
  <si>
    <t>Verify guide rollers move freely</t>
  </si>
  <si>
    <t xml:space="preserve">1. Inspect rollers.
2. Move feeder.
3. Observe roller movement.
4. Inspect wear.
5. Record results.
</t>
  </si>
  <si>
    <t>Rollers rotate freely without sticking.</t>
  </si>
  <si>
    <t>MF-MEC-015</t>
  </si>
  <si>
    <t>Verify Rail Alignment</t>
  </si>
  <si>
    <t>Verify the feeder rail is properly aligned for smooth movement</t>
  </si>
  <si>
    <t>Feeder installed on rail</t>
  </si>
  <si>
    <t>1. Inspect the rail alignment.
2. Measure the rail level.
3. Move the feeder from bank to end position.
4. Observe wheel movement. 
5. Record the observations</t>
  </si>
  <si>
    <t>Feeder moves smoothly without rail misalignment or derailment.</t>
  </si>
  <si>
    <t>MF-MEC-016</t>
  </si>
  <si>
    <t>Verify Mechanical Clearance</t>
  </si>
  <si>
    <t>Verify sufficient clearance between moving parts</t>
  </si>
  <si>
    <t xml:space="preserve">1. Inspect clearances.
2. Operate feeder.
3. Observe interference.
4. Measure clearance.
5. Record results.
</t>
  </si>
  <si>
    <t>No mechanical interference occurs.</t>
  </si>
  <si>
    <t>MF-MEC-017</t>
  </si>
  <si>
    <t>Verify Catwalk Alignment</t>
  </si>
  <si>
    <t>Verify catwalk installation alignment</t>
  </si>
  <si>
    <t>Catwalk installed</t>
  </si>
  <si>
    <t xml:space="preserve">1. Inspect catwalk.
2. Move feeder.
3. Observe travel.
4. Inspect joints.
5. Record observations.
</t>
  </si>
  <si>
    <t>Catwalk alignment supports smooth travel.</t>
  </si>
  <si>
    <t>MF-MEC-018</t>
  </si>
  <si>
    <t>Verify Travel Distance</t>
  </si>
  <si>
    <t>Verify feeder travels configured distance</t>
  </si>
  <si>
    <t>Schedule configured</t>
  </si>
  <si>
    <t xml:space="preserve">1. Start feeder.
2. Measure travel distance.
3. Compare with specification.
4. Repeat cycle.
5. Record values.
</t>
  </si>
  <si>
    <t>Travel distance meets specification.</t>
  </si>
  <si>
    <t>MF-MEC-019</t>
  </si>
  <si>
    <t>Verify Home Position Accuracy</t>
  </si>
  <si>
    <t>Verify feeder returns to bank correctly</t>
  </si>
  <si>
    <t>Home position configured</t>
  </si>
  <si>
    <t xml:space="preserve">1. Move feeder away from bank.
2. Command return.
3. Observe movement.
4. Verify home position.
5. Record result.
</t>
  </si>
  <si>
    <t>Feeder reaches the correct home position.</t>
  </si>
  <si>
    <t>MF-MEC-020</t>
  </si>
  <si>
    <t>Verify End Position Accuracy</t>
  </si>
  <si>
    <t>Verify feeder reaches end position correctly</t>
  </si>
  <si>
    <t xml:space="preserve">1. Start movement.
2. Allow feeder to reach end.
3. Observe stopping.
4. Measure position.
5. Record observations.
</t>
  </si>
  <si>
    <t>Feeder stops at the correct end position.</t>
  </si>
  <si>
    <t>MF-MEC-021</t>
  </si>
  <si>
    <t>Verify Full Hopper Load</t>
  </si>
  <si>
    <t>Verify movement under maximum hopper load</t>
  </si>
  <si>
    <t>Hopper fully loaded</t>
  </si>
  <si>
    <t xml:space="preserve">1. Fill hopper to maximum capacity.
2. Start feeder.
3. Observe movement.
4. Complete one cycle.
5. Record results.
</t>
  </si>
  <si>
    <t>Feeder moves normally under full load.</t>
  </si>
  <si>
    <t>MF-MEC-022</t>
  </si>
  <si>
    <t>Verify Empty Hopper Movement</t>
  </si>
  <si>
    <t>Verify movement with empty hopper</t>
  </si>
  <si>
    <t>Hopper empty</t>
  </si>
  <si>
    <t xml:space="preserve">1. Empty hopper.
2. Start feeder.
3. Observe travel.
4. Complete cycle.
5. Record observations.
</t>
  </si>
  <si>
    <t>Feeder moves normally with an empty hopper.</t>
  </si>
  <si>
    <t>MF-MEC-023</t>
  </si>
  <si>
    <t>Verify Continuous Travel</t>
  </si>
  <si>
    <t>Verify continuous mechanical operation</t>
  </si>
  <si>
    <t>Normal operating condition</t>
  </si>
  <si>
    <t xml:space="preserve">1. Configure continuous movement.
2. Run feeder.
3. Monitor operation.
4. Complete test duration.
5. Record observations.
</t>
  </si>
  <si>
    <t>Continuous movement without mechanical failure.</t>
  </si>
  <si>
    <t>MF-MEC-024</t>
  </si>
  <si>
    <t>Verify Mechanical Vibration</t>
  </si>
  <si>
    <t>Verify vibration remains within acceptable limits</t>
  </si>
  <si>
    <t>Feeder running</t>
  </si>
  <si>
    <t xml:space="preserve">1. Operate feeder.
2. Measure vibration.
3. Compare with limits.
4. Inspect components.
5. Record results.
</t>
  </si>
  <si>
    <t>Vibration remains within specified limits.</t>
  </si>
  <si>
    <t>MF-MEC-025</t>
  </si>
  <si>
    <t>Verify Mechanical Noise</t>
  </si>
  <si>
    <t>Verify operating noise level</t>
  </si>
  <si>
    <t xml:space="preserve">1. Operate feeder.
2. Measure noise level.
3. Observe abnormal sounds.
4. Compare with specification.
5. Record readings.
</t>
  </si>
  <si>
    <t>Noise remains within acceptable limits.</t>
  </si>
  <si>
    <t>MF-MEC-026</t>
  </si>
  <si>
    <t>Verify Shaft connect Inspection</t>
  </si>
  <si>
    <t>Verify feeder passes Shaft connected  smoothly</t>
  </si>
  <si>
    <t>Shaft joints installed</t>
  </si>
  <si>
    <t xml:space="preserve">1. Start feeder.
2. Observe Rotation of the Shaft.
3. Check wheel movement.
4. Observe vibration.
5. Record observations.
</t>
  </si>
  <si>
    <t>Feeder crosses Shaft connected smoothly.</t>
  </si>
  <si>
    <t>MF-MEC-027</t>
  </si>
  <si>
    <t>Verify Lubrication</t>
  </si>
  <si>
    <t>Verify moving parts are properly lubricated</t>
  </si>
  <si>
    <t>Feeder serviced</t>
  </si>
  <si>
    <t xml:space="preserve">1. Inspect lubrication points.
2. Operate feeder.
3. Observe friction.
4. Inspect components.
5. Record findings.
</t>
  </si>
  <si>
    <t>Lubrication is adequate for smooth operation.</t>
  </si>
  <si>
    <t>MF-MEC-028</t>
  </si>
  <si>
    <t>Verify Corrosion Resistance</t>
  </si>
  <si>
    <t>Verify no corrosion on exposed mechanical parts</t>
  </si>
  <si>
    <t>Outdoor installation</t>
  </si>
  <si>
    <t xml:space="preserve">1. Inspect frame.
2. Inspect fasteners.
3. Inspect rails.
4. Record corrosion.
5. Compare with acceptance criteria.
</t>
  </si>
  <si>
    <t>No excessive corrosion observed.</t>
  </si>
  <si>
    <t>MF-MEC-029</t>
  </si>
  <si>
    <t>Verify Obstacle Clearance</t>
  </si>
  <si>
    <t>Verify feeder clears expected mechanical obstacles</t>
  </si>
  <si>
    <t>Test obstacle available</t>
  </si>
  <si>
    <t xml:space="preserve">1. Position approved obstacle.
2. Operate feeder.
3. Observe clearance.
4. Inspect components.
5. Record observations.
</t>
  </si>
  <si>
    <t>Feeder clears designed mechanical obstacles without damage or interference.</t>
  </si>
  <si>
    <t>MF-MEC-030</t>
  </si>
  <si>
    <t>Verify Mechanical Endurance</t>
  </si>
  <si>
    <t>Verify long-term mechanical reliability</t>
  </si>
  <si>
    <t>Feeder fully operational</t>
  </si>
  <si>
    <t xml:space="preserve">1. Configure continuous operation.
2. Run multiple travel cycles.
3. Inspect moving parts.
4. Check fasteners and alignment.
5. Record final condition.
</t>
  </si>
  <si>
    <t>Mechanical components remain functional with no abnormal wear or failures after endurance testing.</t>
  </si>
  <si>
    <t>MF-MECH-031</t>
  </si>
  <si>
    <t>Component Accessibility</t>
  </si>
  <si>
    <t>Verify ease of accessing components</t>
  </si>
  <si>
    <t>1. Identify service components.
2. Access each component.
3. Remove component.
4. Reinstall component.
5. Record observations.</t>
  </si>
  <si>
    <t>Components are easily accessible and serviceable.</t>
  </si>
  <si>
    <t>MF-MECH-032</t>
  </si>
  <si>
    <t>MTTR</t>
  </si>
  <si>
    <t>Verify Mean Time To Repair</t>
  </si>
  <si>
    <t>Feeder operational</t>
  </si>
  <si>
    <t>1. Introduce a defined fault.
2. Identify faulty component.
3. Remove component.
4. Replace/repair component.
5. Record repair time.</t>
  </si>
  <si>
    <t>Repair time meets defined MTTR target.</t>
  </si>
  <si>
    <t>MF-MECH-033</t>
  </si>
  <si>
    <t>Field Testing</t>
  </si>
  <si>
    <t>MTBF</t>
  </si>
  <si>
    <t>Verify Mean Time Between Failures</t>
  </si>
  <si>
    <t>1. Operate feeder for defined period.
2. Monitor failures.
3. Record failures.
4. Review logs.
5. Calculate MTBF.</t>
  </si>
  <si>
    <t>MTBF meets defined requirement.</t>
  </si>
  <si>
    <t>MF-MECH-034</t>
  </si>
  <si>
    <t>Cable Routing</t>
  </si>
  <si>
    <t>Verify proper cable routing and protection</t>
  </si>
  <si>
    <t>Wiring installed</t>
  </si>
  <si>
    <t>1. Inspect cable routing.
2. Check bends and clearance.
3. Check fixing points.
4. Operate moving parts.
5. Record observations.</t>
  </si>
  <si>
    <t>Cables remain secure without interference or damage.</t>
  </si>
  <si>
    <t>MF-MECH-035</t>
  </si>
  <si>
    <t>Torque Verification</t>
  </si>
  <si>
    <t>Verify specified fastener torque</t>
  </si>
  <si>
    <t>Assembly complete</t>
  </si>
  <si>
    <t>1. Identify critical fasteners.
2. Check required torque.
3. Measure with torque wrench.
4. Compare values.
5. Record results.</t>
  </si>
  <si>
    <t>Fasteners meet specified torque values.</t>
  </si>
  <si>
    <t>MF-MECH-036</t>
  </si>
  <si>
    <t>Enclosure Assembly</t>
  </si>
  <si>
    <t>Verify enclosure assembly and fitment</t>
  </si>
  <si>
    <t>Enclosure available</t>
  </si>
  <si>
    <t>1. Assemble enclosure.
2. Check alignment.
3. Tighten fasteners.
4. Inspect gaps and fitment.
5. Record observations.</t>
  </si>
  <si>
    <t>Enclosure is properly aligned and secured.</t>
  </si>
  <si>
    <t>Place of Testing</t>
  </si>
  <si>
    <t>MF-HW-001</t>
  </si>
  <si>
    <t>Hardware</t>
  </si>
  <si>
    <t>Controller Power ON</t>
  </si>
  <si>
    <t>Verify controller powers ON successfully</t>
  </si>
  <si>
    <t>Battery connected</t>
  </si>
  <si>
    <t xml:space="preserve">1. Connect battery.
2. Switch ON controller.
3. Observe LEDs.
4. Wait for boot.
5. Record status.
</t>
  </si>
  <si>
    <t>Controller boots successfully.</t>
  </si>
  <si>
    <t>Boot Log</t>
  </si>
  <si>
    <t>MF-HW-002</t>
  </si>
  <si>
    <t>Controller Power OFF</t>
  </si>
  <si>
    <t>Verify safe shutdown</t>
  </si>
  <si>
    <t>Controller ON</t>
  </si>
  <si>
    <t xml:space="preserve">1. Turn OFF controller.
2. Observe shutdown.
3. Check LEDs.
4. Restart controller.
5. Record observations.
</t>
  </si>
  <si>
    <t>Controller shuts down safely.</t>
  </si>
  <si>
    <t>Video</t>
  </si>
  <si>
    <t>MF-HW-003</t>
  </si>
  <si>
    <t>Battery Voltage Verification</t>
  </si>
  <si>
    <t>Verify battery voltage is within specification</t>
  </si>
  <si>
    <t xml:space="preserve">1. Measure battery voltage.
2. Compare with specification.
3. Start feeder.
4. Measure under load.
5. Record readings.
</t>
  </si>
  <si>
    <t>Voltage remains within specified range.</t>
  </si>
  <si>
    <t>Voltage Report</t>
  </si>
  <si>
    <t>MF-HW-004</t>
  </si>
  <si>
    <t>Battery Backup Verification</t>
  </si>
  <si>
    <t>Verify battery supports feeder during operation</t>
  </si>
  <si>
    <t>Fully charged battery</t>
  </si>
  <si>
    <t xml:space="preserve">1. Disconnect charger.
2. Start feeder.
3. Observe operation.
4. Monitor voltage.
5. Record backup duration.
</t>
  </si>
  <si>
    <t>Feeder operates normally on battery.</t>
  </si>
  <si>
    <t>Battery Report</t>
  </si>
  <si>
    <t>MF-HW-005</t>
  </si>
  <si>
    <t>Motor Driver Functionality</t>
  </si>
  <si>
    <t>Verify drive motor driver operation</t>
  </si>
  <si>
    <t xml:space="preserve">1. Start movement.
2. Observe driver output.
3. Stop feeder.
4. Restart.
5. Record operation.
</t>
  </si>
  <si>
    <t>Driver controls motor correctly.</t>
  </si>
  <si>
    <t>Controller Log</t>
  </si>
  <si>
    <t>MF-HW-006</t>
  </si>
  <si>
    <t>Drive Motor Functionality</t>
  </si>
  <si>
    <t>Verify movement motor operation</t>
  </si>
  <si>
    <t>System ready</t>
  </si>
  <si>
    <t xml:space="preserve">1. Start feeder.
2. Observe rotation.
3. Measure current.
4. Stop feeder.
5. Record values.
</t>
  </si>
  <si>
    <t>Drive motor operates smoothly.</t>
  </si>
  <si>
    <t>MF-HW-007</t>
  </si>
  <si>
    <t>Dispenser Motor Functionality</t>
  </si>
  <si>
    <t>Verify dispenser motor operation</t>
  </si>
  <si>
    <t>Hopper filled</t>
  </si>
  <si>
    <t xml:space="preserve">1. Start schedule.
2. Reach feed point.
3. Observe dispenser.
4. Verify feed dispensing.
5. Record operation.
</t>
  </si>
  <si>
    <t>Dispenser motor operates correctly.</t>
  </si>
  <si>
    <t>MF-HW-008</t>
  </si>
  <si>
    <t>Starter Sensor Detection</t>
  </si>
  <si>
    <t>Verify starter sensor detection</t>
  </si>
  <si>
    <t>Sensor connected</t>
  </si>
  <si>
    <t>1. Move feeder to starter.
2. Observe sensor.
3. Check controller.
4. Repeat test.
5. Record detection.</t>
  </si>
  <si>
    <t>Starter sensor detects correctly.</t>
  </si>
  <si>
    <t>Sensor Log</t>
  </si>
  <si>
    <t>MF-HW-009</t>
  </si>
  <si>
    <t>Stopper Sensor Detection</t>
  </si>
  <si>
    <t>Verify stopper sensor detection</t>
  </si>
  <si>
    <t>1. Move feeder to stopper.
2. Observe sensor.
3. Check controller.
4. Repeat.
5. Record result.</t>
  </si>
  <si>
    <t>Stopper sensor detects correctly.</t>
  </si>
  <si>
    <t>MF-HW-010</t>
  </si>
  <si>
    <t>Bin Empty Sensor Detection</t>
  </si>
  <si>
    <t>Verify bin empty detection</t>
  </si>
  <si>
    <t>1. Empty hopper.2. Start schedule.3. Observe sensor.4. Check alarm.5. Record result.</t>
  </si>
  <si>
    <t>Bin Empty is detected correctly.</t>
  </si>
  <si>
    <t>Alarm Log</t>
  </si>
  <si>
    <t>MF-HW-011</t>
  </si>
  <si>
    <t>Motor Current Measurement</t>
  </si>
  <si>
    <t>Verify drive motor current</t>
  </si>
  <si>
    <t xml:space="preserve">1. Start movement.
2. Measure current.
3. Compare with limits.
4. Stop feeder.
5. Record readings.
</t>
  </si>
  <si>
    <t>Current remains within specification.</t>
  </si>
  <si>
    <t>Current Report</t>
  </si>
  <si>
    <t>MF-HW-012</t>
  </si>
  <si>
    <t>Motor Temperature Verification</t>
  </si>
  <si>
    <t>Verify motor temperature</t>
  </si>
  <si>
    <t>Continuous operation</t>
  </si>
  <si>
    <t xml:space="preserve">1. Run feeder.
2. Measure temperature.
3. Compare with limits.
4. Stop feeder.
5. Record readings.
</t>
  </si>
  <si>
    <t>Temperature remains within limit.</t>
  </si>
  <si>
    <t>Temperature Log</t>
  </si>
  <si>
    <t>MF-HW-013</t>
  </si>
  <si>
    <t>Controller LED Indication</t>
  </si>
  <si>
    <t>Verify LED indications</t>
  </si>
  <si>
    <t xml:space="preserve">1. Power ON.
2. Observe LEDs.
3. Trigger operation.
4. Verify indications.
5. Record status.
</t>
  </si>
  <si>
    <t>LEDs indicate correct system status.</t>
  </si>
  <si>
    <t>Photo</t>
  </si>
  <si>
    <t>MF-HW-014</t>
  </si>
  <si>
    <t>Emergency Stop Functionality</t>
  </si>
  <si>
    <t>Verify Emergency Stop hardware</t>
  </si>
  <si>
    <t xml:space="preserve">1. Start feeder.
2. Press E-Stop.
3. Observe motors.
4. Reset switch.
5. Verify recovery.
</t>
  </si>
  <si>
    <t>All motors stop immediately.</t>
  </si>
  <si>
    <t>MF-HW-015</t>
  </si>
  <si>
    <t>Relay Operation</t>
  </si>
  <si>
    <t>Verify relay switching</t>
  </si>
  <si>
    <t xml:space="preserve">1. Start feeder.
2. Observe relay.
3. Stop feeder.
4. Listen for switching.
5. Record result.
</t>
  </si>
  <si>
    <t>Relay switches correctly.</t>
  </si>
  <si>
    <t>Relay Log</t>
  </si>
  <si>
    <t>MF-HW-016</t>
  </si>
  <si>
    <t>Fuse Protection</t>
  </si>
  <si>
    <t>Verify fuse condition</t>
  </si>
  <si>
    <t>Power OFF</t>
  </si>
  <si>
    <t xml:space="preserve">1. Inspect fuse.
2. Measure continuity.
3. Restore power.
4. Run feeder.
5. Record status.
</t>
  </si>
  <si>
    <t>Fuse is functional.</t>
  </si>
  <si>
    <t>Inspection Report</t>
  </si>
  <si>
    <t>MF-HW-017</t>
  </si>
  <si>
    <t>Wiring Harness Verification</t>
  </si>
  <si>
    <t>Verify wiring integrity</t>
  </si>
  <si>
    <t>System OFF</t>
  </si>
  <si>
    <t xml:space="preserve">1. Inspect harness.
2. Check connectors.
3. Power ON.
4. Run feeder.
5. Record observations.
</t>
  </si>
  <si>
    <t>Wiring is secure without damage.</t>
  </si>
  <si>
    <t>MF-HW-018</t>
  </si>
  <si>
    <t>Connector Fitment</t>
  </si>
  <si>
    <t>Verify electrical connectors</t>
  </si>
  <si>
    <t>Controller OFF</t>
  </si>
  <si>
    <t xml:space="preserve">1. Inspect connectors.
2. Reconnect if required.
3. Power ON.
4. Observe operation.
5. Record result.
</t>
  </si>
  <si>
    <t>Connectors remain secure.</t>
  </si>
  <si>
    <t>MF-HW-019</t>
  </si>
  <si>
    <t>ADC Reading Verification</t>
  </si>
  <si>
    <t>Verify analog sensor values</t>
  </si>
  <si>
    <t>Sensors connected</t>
  </si>
  <si>
    <t xml:space="preserve">1. Open diagnostics.
2. Read ADC values.
3. Compare values.
4. Repeat measurements.
5. Record readings.
</t>
  </si>
  <si>
    <t>ADC values are within expected range.</t>
  </si>
  <si>
    <t>How ADC values will check</t>
  </si>
  <si>
    <t>ADC Log</t>
  </si>
  <si>
    <t>MF-HW-020</t>
  </si>
  <si>
    <t>RTC Battery Verification</t>
  </si>
  <si>
    <t>Verify RTC backup</t>
  </si>
  <si>
    <t>RTC configured</t>
  </si>
  <si>
    <t xml:space="preserve">1. Set time.
2. Remove power.
3. Restore power.
4. Verify time.
5. Record result.
</t>
  </si>
  <si>
    <t>RTC retains correct time.</t>
  </si>
  <si>
    <t>RTC Log</t>
  </si>
  <si>
    <t>MF-HW-021</t>
  </si>
  <si>
    <t>EEPROM Memory Verification</t>
  </si>
  <si>
    <t>Verify configuration storage</t>
  </si>
  <si>
    <t>Settings configured</t>
  </si>
  <si>
    <t xml:space="preserve">1. Save settings.
2. Restart controller.
3. Reload settings.
4. Compare values.
5. Record result.
</t>
  </si>
  <si>
    <t>Settings retained correctly.</t>
  </si>
  <si>
    <t>MF-HW-022</t>
  </si>
  <si>
    <t>Flash Memory Verification</t>
  </si>
  <si>
    <t>Verify firmware storage</t>
  </si>
  <si>
    <t>Firmware installed</t>
  </si>
  <si>
    <t xml:space="preserve">1. Boot controller.
2. Check firmware.
3. Restart.
4. Verify version.
5. Record.
</t>
  </si>
  <si>
    <t>Firmware stored correctly.</t>
  </si>
  <si>
    <t>MF-HW-023</t>
  </si>
  <si>
    <t>GPIO Output Verification</t>
  </si>
  <si>
    <t>Verify digital outputs</t>
  </si>
  <si>
    <t>1. Activate output.2. Measure signal.3. Verify operation.4. Repeat.5. Record.</t>
  </si>
  <si>
    <t>GPIO outputs function correctly.</t>
  </si>
  <si>
    <t>Oscilloscope Report</t>
  </si>
  <si>
    <t>MF-HW-024</t>
  </si>
  <si>
    <t>PWM Output Verification</t>
  </si>
  <si>
    <t>Verify PWM signal</t>
  </si>
  <si>
    <t>Motor enabled</t>
  </si>
  <si>
    <t xml:space="preserve">1. Start motor.
2. Measure PWM.
3. Compare frequency.
4. Observe motor.
5. Record.
</t>
  </si>
  <si>
    <t>PWM signal matches firmware setting.</t>
  </si>
  <si>
    <t>MF-HW-025</t>
  </si>
  <si>
    <t>Power Consumption Verification</t>
  </si>
  <si>
    <t>Verify controller power usage</t>
  </si>
  <si>
    <t>Normal operation</t>
  </si>
  <si>
    <t>1. Start feeder.
2. Measure input power.
3. Observe during operation.
4. Compare specification.
5. Record.</t>
  </si>
  <si>
    <t>Power consumption within limit.</t>
  </si>
  <si>
    <t>Power Report</t>
  </si>
  <si>
    <t>MF-HW-026</t>
  </si>
  <si>
    <t>Charger Operation</t>
  </si>
  <si>
    <t>Verify charger functionality</t>
  </si>
  <si>
    <t>Charger connected</t>
  </si>
  <si>
    <t xml:space="preserve">1. Connect charger.
2. Observe charging.
3. Measure voltage.
4. Verify indicator.
5. Record.
</t>
  </si>
  <si>
    <t>Battery charges correctly.</t>
  </si>
  <si>
    <t>Charging Report</t>
  </si>
  <si>
    <t>MF-HW-027</t>
  </si>
  <si>
    <t>Communication Module Verification</t>
  </si>
  <si>
    <t>Verify communication hardware</t>
  </si>
  <si>
    <t>Network available</t>
  </si>
  <si>
    <t xml:space="preserve">1. Connect network.
2. Check module.
3. Send data.
4. Receive acknowledgement.
5. Record.
</t>
  </si>
  <si>
    <t>Communication module operates correctly.</t>
  </si>
  <si>
    <t>Communication Log</t>
  </si>
  <si>
    <t>MF-HW-028</t>
  </si>
  <si>
    <t>Controller Reset Functionality</t>
  </si>
  <si>
    <t>Verify Controller reset</t>
  </si>
  <si>
    <t xml:space="preserve">1. Press reset.
2. Observe reboot.
3. Verify startup.
4. Check settings.
5. Record.
</t>
  </si>
  <si>
    <t>Controller resets successfully.</t>
  </si>
  <si>
    <t>MF-HW-029</t>
  </si>
  <si>
    <t>Continuous Hardware Operation</t>
  </si>
  <si>
    <t>Verify hardware stability</t>
  </si>
  <si>
    <t xml:space="preserve">1. Run feeder continuously.
2. Monitor sensors.
3. Observe controller.
4. Inspect hardware.
5. Record.
</t>
  </si>
  <si>
    <t>Hardware remains stable without faults.</t>
  </si>
  <si>
    <t>Endurance Report</t>
  </si>
  <si>
    <t>MF-HW-030</t>
  </si>
  <si>
    <t>Complete Hardware Functionality</t>
  </si>
  <si>
    <t>Verify all hardware components together</t>
  </si>
  <si>
    <t>System fully assembled</t>
  </si>
  <si>
    <t xml:space="preserve">1. Power ON system.
2. Execute schedule.
3. Observe sensors, motors, and controller.
4. Complete one cycle.
5. Record results.
</t>
  </si>
  <si>
    <t>All hardware components operate together successfully.</t>
  </si>
  <si>
    <t>Final Test Report</t>
  </si>
  <si>
    <t>MF-HW-031</t>
  </si>
  <si>
    <t>Charge Controller Functionality</t>
  </si>
  <si>
    <t>Verify charge controller operation</t>
  </si>
  <si>
    <t>Battery and solar connected</t>
  </si>
  <si>
    <t xml:space="preserve">1. Connect solar panel and battery.
2. Power ON system.
3. Check charging status.
4. Measure charging voltage/current.
5. Record values.
</t>
  </si>
  <si>
    <t>Charging works correctly.</t>
  </si>
  <si>
    <t>Charging Log / Multimeter Reading</t>
  </si>
  <si>
    <t>MF-HW-032</t>
  </si>
  <si>
    <t>Reverse Protection Circuit</t>
  </si>
  <si>
    <t>Verify reverse polarity protection</t>
  </si>
  <si>
    <t xml:space="preserve">1. Connect battery with correct polarity.
2. Verify normal operation.
3. Apply reverse polarity using controlled test setup.
4. Observe controller.
5. Restore correct polarity.
6. Record result.
</t>
  </si>
  <si>
    <t>No hardware damage.</t>
  </si>
  <si>
    <t>Inspection Report / Test Log</t>
  </si>
  <si>
    <t>MF-HW-033</t>
  </si>
  <si>
    <t>Current with Different Loads</t>
  </si>
  <si>
    <t>Verify current under different loads</t>
  </si>
  <si>
    <t>System operational</t>
  </si>
  <si>
    <t xml:space="preserve">1. Connect normal load.
2. Measure current.
3. Apply different loads.
4. Record current for each load.
5. Compare readings.
</t>
  </si>
  <si>
    <t>Current changes as expected.</t>
  </si>
  <si>
    <t>Current Log</t>
  </si>
  <si>
    <t>MF-HW-034</t>
  </si>
  <si>
    <t>Motor RPM Verification</t>
  </si>
  <si>
    <t>Verify motor RPM</t>
  </si>
  <si>
    <t>Motor connected</t>
  </si>
  <si>
    <t xml:space="preserve">1. Power ON motor.
2. Run at normal condition.
3. Measure RPM using RPM meter/tachometer.
4. Repeat measurement.
5. Record values.
</t>
  </si>
  <si>
    <t>RPM is within specification.</t>
  </si>
  <si>
    <t>RPM Report / Video</t>
  </si>
  <si>
    <t>MF-HW-035</t>
  </si>
  <si>
    <t>Test Point Output Verification</t>
  </si>
  <si>
    <t>Verify test point output signals</t>
  </si>
  <si>
    <t>PCB powered ON</t>
  </si>
  <si>
    <t xml:space="preserve">1. Power ON PCB.
2. Measure each test point.
3. Compare with expected voltage/signal.
4. Record readings.
</t>
  </si>
  <si>
    <t>Outputs are within specified values.</t>
  </si>
  <si>
    <t>Multimeter / Oscilloscope Log</t>
  </si>
  <si>
    <t>MF-HW-036</t>
  </si>
  <si>
    <t>Physical Damage Inspection</t>
  </si>
  <si>
    <t>Check PCB for physical damage</t>
  </si>
  <si>
    <t>PCB available</t>
  </si>
  <si>
    <t xml:space="preserve">1. Inspect PCB and components.
2. Check connectors and terminals.
3. Inspect for cracks/burn marks.
4. Record findings.
</t>
  </si>
  <si>
    <t>No physical damage observed.</t>
  </si>
  <si>
    <t>Inspection Photos</t>
  </si>
  <si>
    <t>MF-HW-037</t>
  </si>
  <si>
    <t>Relay ON/OFF Time Verification</t>
  </si>
  <si>
    <t>Verify relay switching time</t>
  </si>
  <si>
    <t xml:space="preserve">1. Command relay ON.
2. Measure ON time.
3. Command relay OFF.
4. Measure OFF time.
5. Record values.
</t>
  </si>
  <si>
    <t>Relay timing is within specification.</t>
  </si>
  <si>
    <t>Oscilloscope / Relay Log</t>
  </si>
  <si>
    <t>MF-HW-038</t>
  </si>
  <si>
    <t>Relay ON/OFF Current Verification</t>
  </si>
  <si>
    <t>Verify relay current during switching</t>
  </si>
  <si>
    <t>Relay connected</t>
  </si>
  <si>
    <t xml:space="preserve">1. Turn relay ON.
2. Measure current.
3. Turn relay OFF.
4. Measure current.
5. Record readings.
</t>
  </si>
  <si>
    <t>Relay current is within limit.</t>
  </si>
  <si>
    <t>MF-HW-039</t>
  </si>
  <si>
    <t>Input Voltage Range Verification</t>
  </si>
  <si>
    <t>Verify PCB operation across input voltage range</t>
  </si>
  <si>
    <t>Adjustable supply connected</t>
  </si>
  <si>
    <t xml:space="preserve">1. Apply minimum voltage.
2. Check operation.
3. Increase to nominal voltage.
4. Apply maximum voltage.
5. Record readings.
</t>
  </si>
  <si>
    <t>PCB operates within specified range.</t>
  </si>
  <si>
    <t>Power Supply Log</t>
  </si>
  <si>
    <t>MF-HW-040</t>
  </si>
  <si>
    <t>Voltage Protection Circuit</t>
  </si>
  <si>
    <t>Verify protection against voltage variation</t>
  </si>
  <si>
    <t xml:space="preserve">1. Apply voltage variation.
2. Monitor PCB output.
3. Check protection response.
4. Restore normal voltage.
5. Record.
</t>
  </si>
  <si>
    <t>Circuit protects PCB as designed.</t>
  </si>
  <si>
    <t>Voltage Test Report</t>
  </si>
  <si>
    <t>MF-HW-041</t>
  </si>
  <si>
    <t>Over-Current Protection</t>
  </si>
  <si>
    <t>Verify over-current protection</t>
  </si>
  <si>
    <t>Current protection active</t>
  </si>
  <si>
    <t xml:space="preserve">1. Connect controlled load.
2. Increase load current.
3. Monitor protection response.
4. Restore normal load.
5. Record.
</t>
  </si>
  <si>
    <t>Protection activates at specified limit.</t>
  </si>
  <si>
    <t>MF-HW-042</t>
  </si>
  <si>
    <t>Short-Circuit Protection</t>
  </si>
  <si>
    <t>Verify short-circuit protection</t>
  </si>
  <si>
    <t>Test setup ready</t>
  </si>
  <si>
    <t xml:space="preserve">1. Apply controlled short circuit.
2. Observe protection response.
3. Remove short.
4. Check PCB operation.
5. Record.
</t>
  </si>
  <si>
    <t>Circuit isolates short safely.</t>
  </si>
  <si>
    <t>Electrical Test Report</t>
  </si>
  <si>
    <t>MF-HW-043</t>
  </si>
  <si>
    <t>Earthing Verification</t>
  </si>
  <si>
    <t>Verify proper electrical earthing</t>
  </si>
  <si>
    <t>Feeder powered OFF</t>
  </si>
  <si>
    <t xml:space="preserve">1. Inspect earth connection.
2. Check continuity.
3. Measure earth resistance if applicable.
4. Record results.
</t>
  </si>
  <si>
    <t>Earthing is secure and continuous.</t>
  </si>
  <si>
    <t>Multimeter / Inspection Report</t>
  </si>
  <si>
    <t>MF-HW-044</t>
  </si>
  <si>
    <t>Verify hardware power consumption</t>
  </si>
  <si>
    <t xml:space="preserve">1. Connect power analyzer.
2. Power ON feeder.
3. Measure standby consumption.
4. Measure operating consumption.
5. Record.
</t>
  </si>
  <si>
    <t>Power consumption is within specification.</t>
  </si>
  <si>
    <t>Power Consumption Report</t>
  </si>
  <si>
    <t>MF-HW-045</t>
  </si>
  <si>
    <t>Verify circuit protection against reverse connection</t>
  </si>
  <si>
    <t xml:space="preserve">1. Connect controlled reverse input.
2. Power ON test setup.
3. Monitor current and PCB response.
4. Restore correct polarity.
5. Check operation.
</t>
  </si>
  <si>
    <t>Circuit prevents reverse-current damage.</t>
  </si>
  <si>
    <t>MF-HW-046</t>
  </si>
  <si>
    <t>Reverse-Polarity Protection</t>
  </si>
  <si>
    <t>Verify PCB protection from reverse battery polarity</t>
  </si>
  <si>
    <t>Battery disconnected</t>
  </si>
  <si>
    <t xml:space="preserve">1. Connect battery with reverse polarity using controlled setup.
2. Observe PCB.
3. Check current draw.
4. Restore correct polarity.
5. Verify functionality.
</t>
  </si>
  <si>
    <t>PCB remains protected and functional.</t>
  </si>
  <si>
    <t>Inspection / Current Report</t>
  </si>
  <si>
    <t>MF-FW-047</t>
  </si>
  <si>
    <t>Long-Term Reliability / Burn-in</t>
  </si>
  <si>
    <t>Verify hardware reliability during continuous long-duration operation.</t>
  </si>
  <si>
    <t>Feeder assembled and fully operational</t>
  </si>
  <si>
    <t>1. Run the feeder continuously for the defined burn-in duration. 
2. Monitor voltage, current, motor temperature, and system operation. 
3. Record abnormalities. 
4. Inspect hardware after the test.</t>
  </si>
  <si>
    <t>Feeder operates continuously without hardware failure, abnormal heating, or physical damage during the defined burn-in period.</t>
  </si>
  <si>
    <t>Test Log / Temperature Log / Video</t>
  </si>
  <si>
    <t>MF-FW-048</t>
  </si>
  <si>
    <t>EMC &amp; Safety Verification</t>
  </si>
  <si>
    <t>Verify the Moving Feeder hardware meets defined EMC and electrical safety requirements.</t>
  </si>
  <si>
    <t>Feeder assembled and powered</t>
  </si>
  <si>
    <t>1. Perform applicable EMC tests. 
2. Monitor feeder operation during testing. 
3. Check electrical safety parameters. 
4. Inspect grounding and protection circuits.</t>
  </si>
  <si>
    <t>Feeder operates as intended without unacceptable interference and meets defined electrical safety requirements.</t>
  </si>
  <si>
    <t>EMC Test Report / Safety Checklist</t>
  </si>
  <si>
    <t>MF-FW-049</t>
  </si>
  <si>
    <t>Battery Life Long Run</t>
  </si>
  <si>
    <t>Verify battery performance during continuous Moving Feeder operation.</t>
  </si>
  <si>
    <t>Battery fully charged and feeder ready</t>
  </si>
  <si>
    <t>1. Record initial battery voltage. 
2. Run feeder continuously. 
3. Monitor voltage/current periodically.
 4. Record operating duration.</t>
  </si>
  <si>
    <t>Feeder operates continuously for the specified duration without abnormal battery drop.</t>
  </si>
  <si>
    <t>Battery Log / Test Record</t>
  </si>
  <si>
    <t>MF-FW-050</t>
  </si>
  <si>
    <t>Motor Failure / Stuck Condition</t>
  </si>
  <si>
    <t>Verify feeder response when the movement or feed motor fails or gets stuck.</t>
  </si>
  <si>
    <t>Feeder ready for operation</t>
  </si>
  <si>
    <t xml:space="preserve">1. Start feeder. 
2. Simulate motor failure/stuck condition. 
3. Monitor motor current and system response.
 4. Check fault indication.
</t>
  </si>
  <si>
    <t>Motor fault is detected and the feeder enters the defined safe state.</t>
  </si>
  <si>
    <t>Current Log / Video</t>
  </si>
  <si>
    <t>MF-FW-051</t>
  </si>
  <si>
    <t>Charge Controller Failure</t>
  </si>
  <si>
    <t>Verify feeder behavior when the charge controller fails during operation.</t>
  </si>
  <si>
    <t>Battery and charge controller connected</t>
  </si>
  <si>
    <t xml:space="preserve">1. Operate feeder with charging active. 
2. Simulate charge controller failure. 
3. Monitor battery voltage and system operation.
 4. Check fault indication.
</t>
  </si>
  <si>
    <t>Charge controller failure is detected and the system prevents unsafe charging or operation.</t>
  </si>
  <si>
    <t>Voltage Log / Video</t>
  </si>
  <si>
    <t>MF-FW-052</t>
  </si>
  <si>
    <t>Low Battery Operation</t>
  </si>
  <si>
    <t>Verify feeder operation and protection during low battery conditions.</t>
  </si>
  <si>
    <t>Battery partially discharged</t>
  </si>
  <si>
    <t xml:space="preserve">1. Operate feeder. 
2. Reduce battery voltage to the defined low-battery threshold. 
3. Monitor feeder operation. 
4. Check warning/protection response.
</t>
  </si>
  <si>
    <t>Low battery condition is detected and the feeder follows the defined low-battery behavior.</t>
  </si>
  <si>
    <t>Battery Voltage Log / UI Screenshot</t>
  </si>
  <si>
    <t>MF-HW-053</t>
  </si>
  <si>
    <t>Brownout Test</t>
  </si>
  <si>
    <t>Check operation during temporary voltage drop</t>
  </si>
  <si>
    <t>System powered ON</t>
  </si>
  <si>
    <t xml:space="preserve">
1. Set rated voltage.
2. Reduce voltage gradually.
3. Observe controller.
4. Restore voltage.
5. Record response.</t>
  </si>
  <si>
    <t>System operates or recovers without damage.</t>
  </si>
  <si>
    <t>Voltage Log / Test Report</t>
  </si>
  <si>
    <t>MF-HW-054</t>
  </si>
  <si>
    <t>Over-Voltage Test</t>
  </si>
  <si>
    <t>Verify protection against specified over-voltage</t>
  </si>
  <si>
    <t>System powered OFF</t>
  </si>
  <si>
    <t>1. Apply rated voltage.
2. Increase voltage gradually.
3. Monitor system.
4. Verify protection.
5. Restore voltage.</t>
  </si>
  <si>
    <t>Protection activates without hardware damage.</t>
  </si>
  <si>
    <t>MF-HW-055</t>
  </si>
  <si>
    <t>Inrush Current</t>
  </si>
  <si>
    <t>Measure current during power-up</t>
  </si>
  <si>
    <t>1. Connect current meter.
2. Power ON system.
3. Capture peak current.
4. Repeat power-up.
5. Record values.</t>
  </si>
  <si>
    <t>Inrush current is within specified limit.</t>
  </si>
  <si>
    <t>Current Log / Oscilloscope</t>
  </si>
  <si>
    <t>MF-HW-056</t>
  </si>
  <si>
    <t>High-Temperature Operating Test</t>
  </si>
  <si>
    <t>Verify operation at high temperature</t>
  </si>
  <si>
    <t>1. Set high temperature.
2. Stabilize system.
3. Power ON.
4. Run feeder.
5. Record parameters.</t>
  </si>
  <si>
    <t>System operates within specified temperature range.</t>
  </si>
  <si>
    <t>Temperature Test Report</t>
  </si>
  <si>
    <t>MF-HW-057</t>
  </si>
  <si>
    <t>Low-Temperature Operating Test</t>
  </si>
  <si>
    <t>Verify operation at low temperature</t>
  </si>
  <si>
    <t>1. Set low temperature.
2. Stabilize system.
3. Power ON.
4. Run feeder.
5. Record parameters.</t>
  </si>
  <si>
    <t>MF-HW-058</t>
  </si>
  <si>
    <t>High Humidity Operating</t>
  </si>
  <si>
    <t>Verify operation under high humidity</t>
  </si>
  <si>
    <t>Feeder installed and operational</t>
  </si>
  <si>
    <t>1. Operate feeder in humid conditions.
2. Monitor operation.
3. Inspect connectors.
4. Check for moisture.
5. Record observations.</t>
  </si>
  <si>
    <t>Hardware operates without moisture-related issues.</t>
  </si>
  <si>
    <t>Field Report / Photos</t>
  </si>
  <si>
    <t>MF-HW-059</t>
  </si>
  <si>
    <t>Dust Exposure</t>
  </si>
  <si>
    <t>Verify operation under dust exposure</t>
  </si>
  <si>
    <t>Feeder installed outdoors</t>
  </si>
  <si>
    <t>1. Operate feeder in dusty conditions.
2. Monitor operation.
3. Inspect enclosure.
4. Check moving parts.
5. Record observations.</t>
  </si>
  <si>
    <t>No dust-related hardware malfunction.</t>
  </si>
  <si>
    <t>MF-HW-060</t>
  </si>
  <si>
    <t>Water Ingress</t>
  </si>
  <si>
    <t>Verify enclosure protection against water ingress</t>
  </si>
  <si>
    <t>System assembled and sealed</t>
  </si>
  <si>
    <t>1. Inspect enclosure.
2. Apply specified water exposure.
3. Inspect enclosure.
4. Check internal components.
5. Power ON and verify.</t>
  </si>
  <si>
    <t>No harmful water ingress or malfunction.</t>
  </si>
  <si>
    <t>IP Test Report / Photos</t>
  </si>
  <si>
    <t>MF-HW-061</t>
  </si>
  <si>
    <t>Altitude Test</t>
  </si>
  <si>
    <t>Verify operation at specified altitude</t>
  </si>
  <si>
    <t>System assembled and functional</t>
  </si>
  <si>
    <t>1. Set required altitude condition.
2. Stabilize system.
3. Power ON.
4. Operate feeder.
5. Record parameters.</t>
  </si>
  <si>
    <t>Hardware operates within specified altitude range.</t>
  </si>
  <si>
    <t>Environmental Test Report</t>
  </si>
  <si>
    <t>MF-FW-001</t>
  </si>
  <si>
    <t>Firmware</t>
  </si>
  <si>
    <t>Verify Firmware Boot</t>
  </si>
  <si>
    <t>Verify firmware boots successfully after power ON</t>
  </si>
  <si>
    <t>1. Power ON controller.2. Observe boot sequence.3. Verify LEDs.4. Wait for initialization.5. Record firmware status.</t>
  </si>
  <si>
    <t>Firmware boots successfully without errors.</t>
  </si>
  <si>
    <t>Fail</t>
  </si>
  <si>
    <t>MF-FW-002</t>
  </si>
  <si>
    <t>Verify Firmware Version</t>
  </si>
  <si>
    <t>Verify correct firmware version</t>
  </si>
  <si>
    <t>System booted</t>
  </si>
  <si>
    <t>1. Open controller menu.2. Navigate to firmware info.3. Read version.4. Compare with release.5. Record.</t>
  </si>
  <si>
    <t>Correct firmware version displayed.</t>
  </si>
  <si>
    <t>Pass</t>
  </si>
  <si>
    <t>MF-FW-003</t>
  </si>
  <si>
    <t>Verify Schedule Storage</t>
  </si>
  <si>
    <t>Verify schedules are saved</t>
  </si>
  <si>
    <t>Controller ready</t>
  </si>
  <si>
    <t>1. Configure schedule.2. Save settings.3. Restart controller.4. Open schedule.5. Verify values.</t>
  </si>
  <si>
    <t>Schedule remains stored after reboot.</t>
  </si>
  <si>
    <t>MF-FW-004</t>
  </si>
  <si>
    <t>Verify Schedule Editing</t>
  </si>
  <si>
    <t>Verify existing schedule can be modified</t>
  </si>
  <si>
    <t>Schedule exists</t>
  </si>
  <si>
    <t>1. Open schedule.2. Modify TF/FGI.3. Save.4. Reload schedule.5. Verify values.</t>
  </si>
  <si>
    <t>Updated schedule saved successfully.</t>
  </si>
  <si>
    <t>MF-FW-005</t>
  </si>
  <si>
    <t>Verify Schedule Deletion</t>
  </si>
  <si>
    <t>Verify schedule deletion</t>
  </si>
  <si>
    <t>1. Select schedule.2. Delete schedule.3. Save changes.4. Restart controller.5. Verify removal.</t>
  </si>
  <si>
    <t>Selected schedule is removed.</t>
  </si>
  <si>
    <t>MF-FW-006</t>
  </si>
  <si>
    <t>Verify RTC Function</t>
  </si>
  <si>
    <t>Verify Real Time Clock accuracy</t>
  </si>
  <si>
    <t>1. Set RTC.2. Wait.3. Compare with reference time.4. Restart controller.5. Verify time.</t>
  </si>
  <si>
    <t>RTC maintains correct time.</t>
  </si>
  <si>
    <t>MF-FW-007</t>
  </si>
  <si>
    <t>Verify feeder starts at configured time</t>
  </si>
  <si>
    <t>Valid schedule</t>
  </si>
  <si>
    <t>1. Configure schedule.2. Save.3. Wait for start time.4. Observe feeder.5. Record.</t>
  </si>
  <si>
    <t>Schedule starts automatically.</t>
  </si>
  <si>
    <t>MF-FW-008</t>
  </si>
  <si>
    <t>Verify Automatic Schedule Stop</t>
  </si>
  <si>
    <t>Verify feeder stops at end time</t>
  </si>
  <si>
    <t>1. Execute schedule.2. Wait for end time.3. Observe feeder.4. Check status.5. Record.</t>
  </si>
  <si>
    <t>Feeder stops automatically.</t>
  </si>
  <si>
    <t>MF-FW-009</t>
  </si>
  <si>
    <t>Verify TF Logic</t>
  </si>
  <si>
    <t>Verify firmware dispenses configured Total Feed</t>
  </si>
  <si>
    <t>1. Configure TF.
2. Run schedule.
3. Measure feed.
4. Compare.
5. Record.</t>
  </si>
  <si>
    <t>Dispensed feed matches configured TF.</t>
  </si>
  <si>
    <t>MF-FW-010</t>
  </si>
  <si>
    <t>Verify OCF Logic</t>
  </si>
  <si>
    <t>Verify firmware dispenses configured One Cycle Feed</t>
  </si>
  <si>
    <t>OCF configured</t>
  </si>
  <si>
    <t>1. Configure OCF.
2. Start feeding.
3. Measure feed.
4. Repeat.
5. Record.</t>
  </si>
  <si>
    <t>Each cycle dispenses configured OCF.</t>
  </si>
  <si>
    <t>MF-FW-011</t>
  </si>
  <si>
    <t>Verify FGI Logic</t>
  </si>
  <si>
    <t>Verify Feed Gap Interval</t>
  </si>
  <si>
    <t>1. Configure FGI.
2. Start schedule.
3. Measure interval.
4. Repeat.
5. Record.</t>
  </si>
  <si>
    <t>Feeding interval matches configured FGI.</t>
  </si>
  <si>
    <t>MF-FW-012</t>
  </si>
  <si>
    <t>Field Testing?</t>
  </si>
  <si>
    <t>Verify Starter Detection Logic</t>
  </si>
  <si>
    <t>Verify firmware detects starter sensor</t>
  </si>
  <si>
    <t>Starter sensor connected</t>
  </si>
  <si>
    <t>1. Execute schedule.2. Reach starter.3. Observe detection.4. Continue movement.5. Record.</t>
  </si>
  <si>
    <t>Starter detected correctly.</t>
  </si>
  <si>
    <t>MF-FW-013</t>
  </si>
  <si>
    <t>Verify Stopper Detection Logic</t>
  </si>
  <si>
    <t>Verify stopper detection</t>
  </si>
  <si>
    <t>Stopper sensor connected</t>
  </si>
  <si>
    <t>1. Move feeder.
2. Reach stopper.3. Observe detection.4. Stop feeder.5. Record.</t>
  </si>
  <si>
    <t>Stopper detected correctly.</t>
  </si>
  <si>
    <t>MF-FW-014</t>
  </si>
  <si>
    <t>Verify Bin Empty Logic</t>
  </si>
  <si>
    <t>Verify firmware handles empty hopper</t>
  </si>
  <si>
    <t>1. Empty hopper.2. Start schedule.3. Trigger Bin Empty.4. Observe return.5. Record.</t>
  </si>
  <si>
    <t>Bin Empty alarm generated and feeder returns to bank.</t>
  </si>
  <si>
    <t>MF-FW-015</t>
  </si>
  <si>
    <t>Verify Return-to-Bank Logic</t>
  </si>
  <si>
    <t>Verify feeder returns home after completion</t>
  </si>
  <si>
    <t>Schedule completed</t>
  </si>
  <si>
    <t>1. Execute schedule.2. Finish feeding.3. Observe return.4. Verify home position.5. Record.</t>
  </si>
  <si>
    <t>Feeder returns to bank correctly.</t>
  </si>
  <si>
    <t>MF-FW-016</t>
  </si>
  <si>
    <t>Verify Feed Dispensing Logic</t>
  </si>
  <si>
    <t>Verify dispensing sequence</t>
  </si>
  <si>
    <t>Hopper loaded</t>
  </si>
  <si>
    <t>1. Start schedule.2. Reach feed point.3. Stop feeder.4. Dispense feed.5. Resume movement.</t>
  </si>
  <si>
    <t>Firmware follows correct dispense sequence.</t>
  </si>
  <si>
    <t>MF-FW-017</t>
  </si>
  <si>
    <t>1. Start feeder.2. Disconnect power.3. Restore power.4. Observe recovery.5. Record.</t>
  </si>
  <si>
    <t>System resumes according to firmware design.</t>
  </si>
  <si>
    <t>MF-FW-018</t>
  </si>
  <si>
    <t>Verify Configuration Retention</t>
  </si>
  <si>
    <t>Verify settings remain after restart</t>
  </si>
  <si>
    <t>1. Configure settings.2. Restart controller.3. Open settings.4. Compare values.5. Record.</t>
  </si>
  <si>
    <t>All settings retained.</t>
  </si>
  <si>
    <t>MF-FW-019</t>
  </si>
  <si>
    <t>Verify Alarm Generation</t>
  </si>
  <si>
    <t>Verify firmware generates alarms</t>
  </si>
  <si>
    <t>Fault condition available</t>
  </si>
  <si>
    <t>1. Trigger fault.2. Observe controller.3. Check alarm.4. Clear fault.5. Record.</t>
  </si>
  <si>
    <t>Alarm generated correctly.</t>
  </si>
  <si>
    <t>MF-FW-020</t>
  </si>
  <si>
    <t>Verify Error Codes</t>
  </si>
  <si>
    <t>Verify firmware stores fault history</t>
  </si>
  <si>
    <t>Error generated</t>
  </si>
  <si>
    <t>1. Generate error.2. Open logs.3. Verify entry.4. Restart.5. Check persistence.</t>
  </si>
  <si>
    <t>Error stored correctly.</t>
  </si>
  <si>
    <t>MF-FW-021</t>
  </si>
  <si>
    <t>Verify Basic Mode</t>
  </si>
  <si>
    <t>Verify basic mode operation</t>
  </si>
  <si>
    <t>1. Select Basic Mode.2. Start movement.3. Stop feeder.4. Operate dispenser.5. Record.</t>
  </si>
  <si>
    <t>Basic controls work correctly.</t>
  </si>
  <si>
    <t>MF-FW-022</t>
  </si>
  <si>
    <t>Verify Automatic Mode</t>
  </si>
  <si>
    <t>Verify automatic operation</t>
  </si>
  <si>
    <t>1. Enable Auto Mode.2. Wait for schedule.3. Observe feeder.4. Complete cycle.5. Record.</t>
  </si>
  <si>
    <t>Automatic mode functions correctly.</t>
  </si>
  <si>
    <t>MF-FW-023</t>
  </si>
  <si>
    <t>Verify Multiple Schedules</t>
  </si>
  <si>
    <t>Verify execution of all configured schedules</t>
  </si>
  <si>
    <t>1. Configure all schedules.2. Save.3. Observe execution.4. Complete day.5. Record.</t>
  </si>
  <si>
    <t>All schedules execute sequentially.</t>
  </si>
  <si>
    <t>MF-FW-024</t>
  </si>
  <si>
    <t>Verify Schedule Interruption</t>
  </si>
  <si>
    <t>Verify firmware handles interrupted schedule</t>
  </si>
  <si>
    <t>1. Start schedule.2. Interrupt operation.3. Restore condition.4. Observe firmware.5. Record.</t>
  </si>
  <si>
    <t>Firmware responds according to design.</t>
  </si>
  <si>
    <t>MF-FW-025</t>
  </si>
  <si>
    <t>Verify Communication Timeout</t>
  </si>
  <si>
    <t>Verify timeout handling</t>
  </si>
  <si>
    <t>Communication enabled</t>
  </si>
  <si>
    <t>1. Disconnect communication.2. Wait.3. Observe controller.4. Restore connection.5. Record.</t>
  </si>
  <si>
    <t>Timeout handled correctly.</t>
  </si>
  <si>
    <t>MF-FW-026</t>
  </si>
  <si>
    <t>Verify RTC After Restart</t>
  </si>
  <si>
    <t>Verify RTC retains time after reboot</t>
  </si>
  <si>
    <t>1. Set RTC.2. Restart controller.3. Compare time.4. Verify accuracy.5. Record.</t>
  </si>
  <si>
    <t>RTC remains accurate.</t>
  </si>
  <si>
    <t>MF-FW-027</t>
  </si>
  <si>
    <t>Verify Watchdog Recovery</t>
  </si>
  <si>
    <t>Verify watchdog reset</t>
  </si>
  <si>
    <t>Debug mode enabled</t>
  </si>
  <si>
    <t>1. Simulate firmware hang.2. Observe watchdog.3. Wait for reset.4. Verify reboot.5. Record.</t>
  </si>
  <si>
    <t>Watchdog recovers the system.</t>
  </si>
  <si>
    <t>MF-FW-028</t>
  </si>
  <si>
    <t>Verify Firmware Stability</t>
  </si>
  <si>
    <t>Verify continuous firmware operation</t>
  </si>
  <si>
    <t>1. Run feeder continuously.2. Observe firmware.3. Monitor logs.4. Complete duration.5. Record.</t>
  </si>
  <si>
    <t>Firmware remains stable without crashes.</t>
  </si>
  <si>
    <t>MF-FW-029</t>
  </si>
  <si>
    <t>Verify Invalid Parameter Handling</t>
  </si>
  <si>
    <t>Verify firmware rejects invalid settings</t>
  </si>
  <si>
    <t>1. Enter invalid values.2. Save.3. Observe message.4. Retry with valid values.5. Record.</t>
  </si>
  <si>
    <t>Invalid parameters are rejected with appropriate indication.</t>
  </si>
  <si>
    <t>MF-FW-030</t>
  </si>
  <si>
    <t>Verify Complete Firmware Functionality</t>
  </si>
  <si>
    <t>Verify complete firmware workflow</t>
  </si>
  <si>
    <t>1. Configure schedules.2. Execute feeding cycle.3. Monitor movement, sensors, alarms, and return.4. Complete operation.5. Record final results.</t>
  </si>
  <si>
    <t>Firmware performs all functions correctly without errors.</t>
  </si>
  <si>
    <t>MF-FW-031</t>
  </si>
  <si>
    <t>Button Function Verification</t>
  </si>
  <si>
    <t>Verify firmware correctly detects and processes button inputs</t>
  </si>
  <si>
    <t>Moving Feeder powered ON</t>
  </si>
  <si>
    <t>1. Power ON the Moving Feeder. 2. Press each available button individually. 3. Observe LCD response. 4. Verify the corresponding firmware action. 5. Repeat each button multiple times.</t>
  </si>
  <si>
    <t>Each button press is detected correctly and the intended firmware function is executed without missed or unintended actions.</t>
  </si>
  <si>
    <t>MF-FW-032</t>
  </si>
  <si>
    <t>Menu Navigation Verification</t>
  </si>
  <si>
    <t>Verify firmware navigation between different menus and screens</t>
  </si>
  <si>
    <t>LCD active</t>
  </si>
  <si>
    <t>1. Open the main menu. 2. Navigate through available options. 3. Enter each submenu. 4. Change/select an option. 5. Return to the previous screen. 6. Repeat navigation.</t>
  </si>
  <si>
    <t>Menu navigation works correctly and the correct screen is displayed for each user input.</t>
  </si>
  <si>
    <t>MF-FW-033</t>
  </si>
  <si>
    <t>Long-Run Firmware Stability</t>
  </si>
  <si>
    <t>Verify firmware remains stable during extended Moving Feeder operation</t>
  </si>
  <si>
    <t>Moving Feeder operational</t>
  </si>
  <si>
    <t>1. Configure normal operation. 2. Start the Moving Feeder. 3. Run the feeder for the defined endurance period. 4. Monitor firmware logs, motor states and sensors. 5. Check for resets, freezes or unexpected states.</t>
  </si>
  <si>
    <t>Firmware operates continuously without crash, freeze, unexpected reset or loss of configuration.</t>
  </si>
  <si>
    <t>MF-FW-034</t>
  </si>
  <si>
    <t>KG Dispense Time Verification</t>
  </si>
  <si>
    <t>Verify firmware controls feed motor operation according to configured kg dispense time</t>
  </si>
  <si>
    <t>Hopper contains feed</t>
  </si>
  <si>
    <t>1. Configure the required kg dispense time/feeding parameter. 2. Save the setting. 3. Start feeding. 4. Record feed motor ON duration. 5. Compare actual duration with configured value.</t>
  </si>
  <si>
    <t>Feed motor operation time follows the configured dispense parameter within the defined tolerance.</t>
  </si>
  <si>
    <t>MF-FW-035</t>
  </si>
  <si>
    <t>Schedule Configuration</t>
  </si>
  <si>
    <t>Verify firmware stores configured feeding schedules</t>
  </si>
  <si>
    <t>1. Open schedule menu. 2. Create a schedule. 3. Configure start/end time and feeding parameters. 4. Save the schedule. 5. Reopen schedule.</t>
  </si>
  <si>
    <t>Schedule values are stored correctly and displayed without modification.</t>
  </si>
  <si>
    <t>MF-FW-036</t>
  </si>
  <si>
    <t>Schedule Execution</t>
  </si>
  <si>
    <t>Verify firmware executes the configured schedule</t>
  </si>
  <si>
    <t>1. Configure a short test schedule. 2. Save schedule. 3. Wait for scheduled start. 4. Observe movement and feeding. 5. Check event logs.</t>
  </si>
  <si>
    <t>Moving Feeder starts and executes the configured operation at the scheduled time.</t>
  </si>
  <si>
    <t>MF-FW-037</t>
  </si>
  <si>
    <t>Start Function</t>
  </si>
  <si>
    <t>Verify firmware correctly handles Start command</t>
  </si>
  <si>
    <t>Moving Feeder stopped and ready</t>
  </si>
  <si>
    <t>1. Power ON system. 2. Issue Start command. 3. Monitor firmware state. 4. Observe mover motor command. 5. Check LCD/event log.</t>
  </si>
  <si>
    <t>Firmware changes to the correct operating state and starts the intended feeder operation.</t>
  </si>
  <si>
    <t>MF-FW-038</t>
  </si>
  <si>
    <t>Stop Function</t>
  </si>
  <si>
    <t>Verify firmware correctly handles Stop command</t>
  </si>
  <si>
    <t>Moving Feeder operating</t>
  </si>
  <si>
    <t>1. Start movement. 2. Issue Stop command. 3. Observe mover motor. 4. Check LCD/system state. 5. Review event log.</t>
  </si>
  <si>
    <t>Firmware stops the intended operation and updates the system state correctly.</t>
  </si>
  <si>
    <t>MF-FW-039</t>
  </si>
  <si>
    <t>End-of-Schedule Function</t>
  </si>
  <si>
    <t>Verify firmware correctly handles schedule completion</t>
  </si>
  <si>
    <t>1. Configure a short schedule. 2. Allow the schedule to execute. 3. Monitor configured end time. 4. Observe mover and feed motor. 5. Check final system state.</t>
  </si>
  <si>
    <t>Firmware terminates the schedule correctly and executes the defined end-of-schedule behavior.</t>
  </si>
  <si>
    <t>MF-FW-040</t>
  </si>
  <si>
    <t>No Feed Detection</t>
  </si>
  <si>
    <t>Verify firmware handles a no-feed condition</t>
  </si>
  <si>
    <t>Feed available initially</t>
  </si>
  <si>
    <t>1. Start feeding operation. 2. Create a controlled no-feed condition. 3. Monitor feed motor/current feedback. 4. Observe firmware state. 5. Check alarm/event log.</t>
  </si>
  <si>
    <t>Firmware detects the no-feed condition and executes the defined fault-handling/recovery logic.</t>
  </si>
  <si>
    <t>MF-FW-041</t>
  </si>
  <si>
    <t>Motor Current Monitoring</t>
  </si>
  <si>
    <t>Verify firmware monitors mover motor current</t>
  </si>
  <si>
    <t>1. Start movement. 2. Record normal motor current. 3. Repeat under different operating conditions/load. 4. Compare firmware current readings with reference measurement. 5. Review logs.</t>
  </si>
  <si>
    <t>Firmware correctly detects and records motor current and identifies abnormal current according to defined limits.</t>
  </si>
  <si>
    <t>MF-FW-042</t>
  </si>
  <si>
    <t>Feed Motor Current Monitoring</t>
  </si>
  <si>
    <t>Verify firmware monitors feed motor current</t>
  </si>
  <si>
    <t>Feed motor operational</t>
  </si>
  <si>
    <t>1. Start feeding. 2. Record feed motor current. 3. Repeat feeding cycles. 4. Introduce controlled load variation. 5. Review current logs.</t>
  </si>
  <si>
    <t>Feed motor current is correctly measured and recorded by firmware.</t>
  </si>
  <si>
    <t>MF-FW-043</t>
  </si>
  <si>
    <t>Verify firmware detects feed motor failure</t>
  </si>
  <si>
    <t>Feed motor connected</t>
  </si>
  <si>
    <t>1. Start a feeding operation. 2. Simulate feed motor failure. 3. Monitor current/feedback. 4. Observe firmware state. 5. Check alarm and event log.</t>
  </si>
  <si>
    <t>Firmware detects feed motor failure and performs the defined fault-handling action.</t>
  </si>
  <si>
    <t>MF-FW-044</t>
  </si>
  <si>
    <t>Verify firmware detects mover motor failure</t>
  </si>
  <si>
    <t>Moving Feeder ready</t>
  </si>
  <si>
    <t>1. Issue movement command. 2. Simulate mover motor failure. 3. Monitor current/feedback. 4. Observe firmware state. 5. Check alarm/event log.</t>
  </si>
  <si>
    <t>Firmware detects mover motor failure and prevents continued unsafe operation according to the defined logic.</t>
  </si>
  <si>
    <t>MF-FW-045</t>
  </si>
  <si>
    <t>Feed and Move Motor Synchronization</t>
  </si>
  <si>
    <t>Verify firmware coordinates mover and feed motors correctly</t>
  </si>
  <si>
    <t>1. Start movement. 2. Monitor mover motor state. 3. Reach feeding condition/position. 4. Verify mover motor transition. 5. Observe feed motor activation. 6. Verify movement resumes after feeding.</t>
  </si>
  <si>
    <t>Mover and feed motors operate in the correct sequence without simultaneous conflicting commands.</t>
  </si>
  <si>
    <t>MF-FW-046</t>
  </si>
  <si>
    <t>Dispensed Feed Quantity</t>
  </si>
  <si>
    <t>Verify firmware-controlled feeding produces the configured quantity</t>
  </si>
  <si>
    <t>Hopper loaded and calibration completed</t>
  </si>
  <si>
    <t>1. Configure target feed quantity. 2. Start feeding. 3. Collect dispensed feed. 4. Weigh the feed. 5. Compare actual quantity with configured value.</t>
  </si>
  <si>
    <t>Dispensed feed quantity is within the defined tolerance of the configured target.</t>
  </si>
  <si>
    <t>Feed Accuracy</t>
  </si>
  <si>
    <t>Verify firmware maintains feed accuracy over repeated cycles</t>
  </si>
  <si>
    <t>Feeder calibrated</t>
  </si>
  <si>
    <t>1. Configure a known feed quantity. 2. Execute multiple feeding cycles. 3. Collect feed from each cycle. 4. Weigh each output. 5. Calculate deviation. 6. Compare results.</t>
  </si>
  <si>
    <t>Feed output remains within the specified accuracy/tolerance across repeated cycles.</t>
  </si>
  <si>
    <t>LoRa Channel Configuration</t>
  </si>
  <si>
    <t>Verify firmware stores the configured LoRa channel</t>
  </si>
  <si>
    <t>LoRa communication available</t>
  </si>
  <si>
    <t>1. Open LoRa configuration. 2. Select an approved channel. 3. Save configuration. 4. Restart the Moving Feeder. 5. Verify configured channel.</t>
  </si>
  <si>
    <t>Selected LoRa channel is stored and retained after restart.</t>
  </si>
  <si>
    <t>LoRa Frequency Verification</t>
  </si>
  <si>
    <t>Verify firmware operates using configured LoRa frequency</t>
  </si>
  <si>
    <t>MF and communication endpoint available</t>
  </si>
  <si>
    <t>1. Configure the first approved frequency. 2. Establish communication. 3. Send/receive data. 4. Change to another approved frequency. 5. Repeat communication.</t>
  </si>
  <si>
    <t>LoRa communication operates correctly using each supported configuration.</t>
  </si>
  <si>
    <t>Schedule Interruption</t>
  </si>
  <si>
    <t>Verify firmware handles an interrupted schedule</t>
  </si>
  <si>
    <t>1. Start a configured schedule. 2. Interrupt the schedule using the defined method. 3. Observe motor states. 4. Restore the operating condition. 5. Check schedule status and logs.</t>
  </si>
  <si>
    <t>Firmware handles the interruption according to the defined recovery/state logic without corrupting schedule data.</t>
  </si>
  <si>
    <t>Network Change During Operation</t>
  </si>
  <si>
    <t>Verify firmware behavior when network condition changes during feeder operation</t>
  </si>
  <si>
    <t>Network connected and feeder operating</t>
  </si>
  <si>
    <t>1. Start normal operation. 2. Disconnect or change the network. 3. Monitor Moving Feeder operation. 4. Restore network. 5. Check reconnection and data synchronization.</t>
  </si>
  <si>
    <t>Local feeder operation continues according to the defined design, and communication recovers correctly when the network is restored.</t>
  </si>
  <si>
    <t>LCD Status Verification</t>
  </si>
  <si>
    <t>Verify firmware displays correct Moving Feeder status</t>
  </si>
  <si>
    <t>1. Power ON the Moving Feeder. 2. Check startup screen. 3. Start movement. 4. Check displayed status. 5. Start feeding. 6. Check displayed feed status.</t>
  </si>
  <si>
    <t>LCD displays the correct operating state, parameters and status information.</t>
  </si>
  <si>
    <t>MF-FW-053</t>
  </si>
  <si>
    <t>LCD Parameter Update</t>
  </si>
  <si>
    <t>Verify LCD reflects updated firmware parameters</t>
  </si>
  <si>
    <t>Device ready</t>
  </si>
  <si>
    <t>1. Record current parameter. 2. Change the parameter. 3. Save configuration. 4. Return to status screen. 5. Verify displayed value.</t>
  </si>
  <si>
    <t>LCD displays the updated parameter correctly without stale values.</t>
  </si>
  <si>
    <t>MF-FW-054</t>
  </si>
  <si>
    <t>Bin Empty Detection</t>
  </si>
  <si>
    <t>Verify firmware detects Bin Empty condition</t>
  </si>
  <si>
    <t>Bin Empty sensor/input available</t>
  </si>
  <si>
    <t>1. Empty the feed bin/hopper. 2. Start the scheduled operation. 3. Monitor Bin Empty input. 4. Observe LCD. 5. Check alarm/event log.</t>
  </si>
  <si>
    <t>Firmware detects Bin Empty and generates the defined indication/alarm.</t>
  </si>
  <si>
    <t>MF-FW-055</t>
  </si>
  <si>
    <t>Bin Empty During Movement</t>
  </si>
  <si>
    <t>Verify firmware handles Bin Empty while Moving Feeder is moving</t>
  </si>
  <si>
    <t>Moving Feeder travelling</t>
  </si>
  <si>
    <t>1. Start feeder movement. 2. Create Bin Empty condition. 3. Monitor firmware state. 4. Observe movement and feed commands. 5. Verify final state.</t>
  </si>
  <si>
    <t>Firmware handles Bin Empty according to defined priority and transitions to the required safe state/return behavior.</t>
  </si>
  <si>
    <t>MF-FW-056</t>
  </si>
  <si>
    <t>Calibration</t>
  </si>
  <si>
    <t xml:space="preserve">Verify Moving Feeder calibration </t>
  </si>
  <si>
    <t>Moving Feeder installed and calibration mode available</t>
  </si>
  <si>
    <t>1. Enter calibration mode. 2. Follow approved calibration procedure. 3. Enter required reference/measured values. 4. Save calibration. 5. Restart the system. 6. Verify stored calibration values.</t>
  </si>
  <si>
    <t>Calibration completes successfully and calibration parameters are stored correctly.</t>
  </si>
  <si>
    <t>MF-FW-057</t>
  </si>
  <si>
    <t>Calibration Effect on Feed Accuracy</t>
  </si>
  <si>
    <t>Verify calibration parameters are applied during feeding</t>
  </si>
  <si>
    <t>Calibration completed</t>
  </si>
  <si>
    <t>1. Configure target feed quantity. 2. Execute feeding cycle. 3. Measure actual feed quantity. 4. Compare target and actual. 5. Apply approved calibration adjustment if required. 6. Repeat feeding test.</t>
  </si>
  <si>
    <t>Firmware applies calibration parameters and feed output moves within the defined accuracy requirement.</t>
  </si>
  <si>
    <t>MF-FW-058</t>
  </si>
  <si>
    <t>Configuration Retention</t>
  </si>
  <si>
    <t>Verify firmware retains schedule and feeding parameters after restart</t>
  </si>
  <si>
    <t>Parameters configured</t>
  </si>
  <si>
    <t>1. Configure schedule, feed parameters and communication settings. 2. Save settings. 3. Power OFF Moving Feeder. 4. Power ON. 5. Verify all parameters.</t>
  </si>
  <si>
    <t>All saved parameters remain unchanged after restart.</t>
  </si>
  <si>
    <t>MF-FW-059</t>
  </si>
  <si>
    <t>Recovery After Motor Fault</t>
  </si>
  <si>
    <t>Verify firmware recovery after a motor fault is cleared</t>
  </si>
  <si>
    <t>Motor fault can be simulated</t>
  </si>
  <si>
    <t>1. Start Moving Feeder. 2. Introduce motor fault. 3. Verify fault detection. 4. Clear fault. 5. Observe firmware recovery. 6. Verify motor state.</t>
  </si>
  <si>
    <t>Firmware recovers according to defined logic and does not cause unintended motor activation.</t>
  </si>
  <si>
    <t>MF-FW-060</t>
  </si>
  <si>
    <t>Complete Moving Feeder Firmware Workflow</t>
  </si>
  <si>
    <t>Verify complete firmware operation using all major functional scenarios</t>
  </si>
  <si>
    <t>Moving Feeder fully assembled and operational</t>
  </si>
  <si>
    <t>1. Power ON feeder. 2. Verify buttons and LCD navigation. 3. Configure calibration. 4. Configure feeding parameters. 5. Configure schedule. 6. Start movement. 7. Verify feed/move motor synchronization. 8. Verify feed quantity and accuracy. 9. Trigger Bin Empty/no-feed condition. 10. Verify motor fault handling. 11. Change network condition during operation. 12. Verify LoRa communication. 13. Interrupt and complete a schedule. 14. Review firmware logs.</t>
  </si>
  <si>
    <t>Firmware performs the complete Moving Feeder workflow correctly, handles abnormal conditions according to design, maintains configuration and records required events without unexpected reset or unsafe operation.</t>
  </si>
  <si>
    <t>MF-FW-061</t>
  </si>
  <si>
    <t>Trial Run Functionality</t>
  </si>
  <si>
    <t>Verify complete trial run operation</t>
  </si>
  <si>
    <t>1. Power ON feeder.2. Select Trial Run.3. Start trial run.4. Verify feeder movement and feeding.5. Verify starter/stopper detection.6. Complete trial run.7. Verify return to bank.8. Record results.</t>
  </si>
  <si>
    <t>Trial run completes correctly.</t>
  </si>
  <si>
    <t>MF-FW-062</t>
  </si>
  <si>
    <t>Doser Hall Sensor Detection</t>
  </si>
  <si>
    <t>Verify firmware detects Doser Hall sensor pulses correctly during feed dispensing.</t>
  </si>
  <si>
    <t>Feeder powered ON and Doser ready</t>
  </si>
  <si>
    <t>1. Start dispensing. 2. Observe Hall sensor pulses. 3. Compare sensor detection with Doser rotation. 4. Check firmware log.</t>
  </si>
  <si>
    <t>Hall sensor pulses are detected correctly and Doser operation is tracked.</t>
  </si>
  <si>
    <t>MF-FW-063</t>
  </si>
  <si>
    <t>Bin Empty Alert</t>
  </si>
  <si>
    <t>Verify firmware detects bin-empty condition and generates the correct alert.</t>
  </si>
  <si>
    <t>Feeder operating with feed bin available</t>
  </si>
  <si>
    <t>1. Start feeding. 2. Simulate/allow bin-empty condition. 3. Monitor feeder status. 4. Check alert/log.</t>
  </si>
  <si>
    <t>Bin Empty condition is detected and the correct alert is generated.</t>
  </si>
  <si>
    <t>MF-FW-064</t>
  </si>
  <si>
    <t>Feed Stuck Alert</t>
  </si>
  <si>
    <t>Verify firmware detects feed-stuck condition and generates the correct alert.</t>
  </si>
  <si>
    <t>Feeder ready for feeding</t>
  </si>
  <si>
    <t>1. Start feeding. 2. Simulate feed blockage. 3. Monitor motor/sensor status. 4. Check alert and log.</t>
  </si>
  <si>
    <t>Feed stuck condition is detected and the correct alert is generated.</t>
  </si>
  <si>
    <t>MF-FW-065</t>
  </si>
  <si>
    <t>Network SNR vs Distance</t>
  </si>
  <si>
    <t>Verify firmware communication behavior for different SNR levels and feeder distances.</t>
  </si>
  <si>
    <t>Feeder and Gateway connected</t>
  </si>
  <si>
    <t>1. Operate feeder at different distances. 2. Record SNR. 3. Check communication status. 4. Compare SNR with distance.</t>
  </si>
  <si>
    <t>Firmware maintains communication status and records SNR correctly at different distances.</t>
  </si>
  <si>
    <t>MF-FW-066</t>
  </si>
  <si>
    <t>Network SNR vs Placement</t>
  </si>
  <si>
    <t>Verify firmware communication behavior for different feeder/Gateway placements.</t>
  </si>
  <si>
    <t>1. Test different placements. 2. Record SNR. 3. Monitor communication. 4. Check logs.</t>
  </si>
  <si>
    <t>Communication status and SNR are updated correctly for different placements.</t>
  </si>
  <si>
    <t>MF-FW-067</t>
  </si>
  <si>
    <t>Power Failure During Running</t>
  </si>
  <si>
    <t>Verify firmware behavior when power fails while the feeder is running.</t>
  </si>
  <si>
    <t>1. Start feeder movement/feeding. 2. Interrupt power. 3. Restore power. 4. Observe recovery. 5. Check logs.</t>
  </si>
  <si>
    <t>Firmware handles power loss and recovers without abnormal operation or data loss.</t>
  </si>
  <si>
    <t>MF-FW-068</t>
  </si>
  <si>
    <t>UI Option Disable/Enable</t>
  </si>
  <si>
    <t>Verify firmware correctly handles disabling and enabling available UI options.</t>
  </si>
  <si>
    <t>Feeder UI accessible</t>
  </si>
  <si>
    <t>1. Open UI settings. 2. Disable the selected option. 3. Verify function is unavailable. 4. Enable the option. 5. Verify function is restored.</t>
  </si>
  <si>
    <t>Disabled options are unavailable and enabled options function correctly.</t>
  </si>
  <si>
    <t>MF-FW-069</t>
  </si>
  <si>
    <t>PM Switching</t>
  </si>
  <si>
    <t>Verify firmware handles switching between Pond Mother (PM) and Moving Feeder operation correctly.</t>
  </si>
  <si>
    <t>PM and Moving Feeder connected and ready</t>
  </si>
  <si>
    <t>1. Start PM operation. 2. Switch to Moving Feeder. 3. Verify current operating mode. 4. Repeat switching.</t>
  </si>
  <si>
    <t>Feeder switches to the selected mode correctly without unintended operation.</t>
  </si>
  <si>
    <t>MF-FW-070</t>
  </si>
  <si>
    <t>Safe Feed</t>
  </si>
  <si>
    <t>Verify firmware maintains safe feeding operation during normal and abnormal conditions.</t>
  </si>
  <si>
    <t>1. Start feeding. 2. Monitor movement and feed dispensing. 3. Introduce a defined abnormal condition. 4. Observe feeder response.</t>
  </si>
  <si>
    <t>Feeding operates safely and stops/reverts to the defined safe state when required.</t>
  </si>
  <si>
    <t>MF-FW-071</t>
  </si>
  <si>
    <t>Error Codes</t>
  </si>
  <si>
    <t>Verify firmware generates the correct error code for detected faults.</t>
  </si>
  <si>
    <t>Feeder powered ON</t>
  </si>
  <si>
    <t>1. Introduce a defined fault. 
2. Observe UI/error indication.
 3. Record error code. 
4. Check firmware log.</t>
  </si>
  <si>
    <t>Correct error code is generated and displayed/logged for the detected fault.</t>
  </si>
  <si>
    <t>MF-FW-072</t>
  </si>
  <si>
    <t>GW Communication Overlapping</t>
  </si>
  <si>
    <t>Verify firmware handles overlapping or conflicting feeding schedules correctly.</t>
  </si>
  <si>
    <t>1. Create two overlapping schedules. 
2. Start scheduled operation.
 3. Monitor feeder behavior. 
4. Check schedule and firmware logs.</t>
  </si>
  <si>
    <t>Overlapping schedules are handled according to the defined scheduling logic without duplicate or unintended feeding.</t>
  </si>
  <si>
    <t>MF-FW-073</t>
  </si>
  <si>
    <t>Serial Communication Between Mover and PM</t>
  </si>
  <si>
    <t>Verify reliable serial communication between Mover and PM</t>
  </si>
  <si>
    <t>Mover and PM connected</t>
  </si>
  <si>
    <t>1. Power ON Mover and PM.
2. Establish serial communication.
3. Send commands/data from PM to Mover.
4. Monitor received data and responses.
5. Check communication logs.</t>
  </si>
  <si>
    <t>Mover and PM communicate correctly without data loss or unexpected errors.</t>
  </si>
  <si>
    <t>MF-FW-074</t>
  </si>
  <si>
    <t>Bin Empty – 3 Cycle Confirmation</t>
  </si>
  <si>
    <t>Verify Bin Empty after 3 consecutive cycles</t>
  </si>
  <si>
    <t>Bin Empty condition active</t>
  </si>
  <si>
    <t>1. Start feeding cycle.
2. Trigger Bin Empty condition.
3. Allow first cycle to complete.
4. Repeat for 3 cycles.
5. Check Bin Empty status.</t>
  </si>
  <si>
    <t>Bin Empty is confirmed after 3 consecutive cycles.</t>
  </si>
  <si>
    <t>MF-FW-075</t>
  </si>
  <si>
    <t>Bin Empty – 5-Minute Timeout / Home Return Detection</t>
  </si>
  <si>
    <t>Verify return after Bin Empty using Home detection or 5-minute timeout</t>
  </si>
  <si>
    <t>Bin Empty detected</t>
  </si>
  <si>
    <t>1. Trigger Bin Empty.
2. Start return operation.
3. Monitor Home detection.
4. If Home is not detected, monitor 5-minute timer.
5. Record system response.</t>
  </si>
  <si>
    <t>Feeder completes the Bin Empty return when Home is detected or 5-minute timeout is reached.</t>
  </si>
  <si>
    <t>MF-FW-076</t>
  </si>
  <si>
    <t>Bin Empty – Dispenser &amp; Doser Timing</t>
  </si>
  <si>
    <t>Verify Doser turns ON 3 seconds after Dispenser ON</t>
  </si>
  <si>
    <t>1. Trigger Bin Empty condition.
2. Turn ON Dispenser.
3. Monitor timing.
4. Verify Doser status after 3 seconds.
5. Record event logs.</t>
  </si>
  <si>
    <t>Doser turns ON 3 seconds after Dispenser turns ON.</t>
  </si>
  <si>
    <t>MF-FW-077</t>
  </si>
  <si>
    <t>Bin Empty – Dispenser &amp; Doser OFF Synchronization</t>
  </si>
  <si>
    <t>Verify Dispenser and Doser turn OFF simultaneously</t>
  </si>
  <si>
    <t>Dispenser and Doser ON</t>
  </si>
  <si>
    <t>1. Trigger Bin Empty condition.
2. Monitor Dispenser and Doser.
3. Initiate OFF condition.
4. Compare OFF timestamps.
5. Record logs.</t>
  </si>
  <si>
    <t>Dispenser and Doser turn OFF at the same time.</t>
  </si>
  <si>
    <t>MF-FW-078</t>
  </si>
  <si>
    <t>Bin Empty – Mover Immediate Start</t>
  </si>
  <si>
    <t>Verify Mover starts immediately after Doser motor OFF</t>
  </si>
  <si>
    <t>Doser motor ON</t>
  </si>
  <si>
    <t>1. Trigger Bin Empty condition.
2. Monitor Doser motor.
3. Detect Doser motor OFF.
4. Monitor Mover motor.
5. Record timing.</t>
  </si>
  <si>
    <t>Mover turns ON immediately after Doser motor turns OFF.</t>
  </si>
  <si>
    <t>MF-FW-079</t>
  </si>
  <si>
    <t>MF-FW-080</t>
  </si>
  <si>
    <t xml:space="preserve">Firmware </t>
  </si>
  <si>
    <t>Display hangs during operation</t>
  </si>
  <si>
    <t>Verify that the system recovers safely if the display becomes unresponsive</t>
  </si>
  <si>
    <t>Device powered ON and operating normally</t>
  </si>
  <si>
    <t>1. Operate the system normally. 
2. Observe display operation.
 3. If display hangs, attempt normal user interaction. 
4. Restart the device. 
5. Verify system recovery and operating state after restart.</t>
  </si>
  <si>
    <t>Display shall remain responsive during operation. If an abnormal condition occurs, restarting the device shall restore normal operation without creating an unsafe or unintended operating condition.</t>
  </si>
  <si>
    <t>MF-FW-081</t>
  </si>
  <si>
    <t>Schedule / Functionality</t>
  </si>
  <si>
    <t>Scheduled feeding occurs when feeder is at HOME/END position</t>
  </si>
  <si>
    <t>Verify that feed dispensing does not occur in an unintended area when the feeder is at HOME/END</t>
  </si>
  <si>
    <t>Feeder positioned at HOME or END and valid schedule configured</t>
  </si>
  <si>
    <t>1. Position feeder at HOME/END. 
2. Configure feeding schedule. 
3. Allow scheduled cycle to start.
 4. Observe mover and dispenser behavior at both ends.</t>
  </si>
  <si>
    <t>Feed shall not be dispensed on the dyke/rest area at HOME or END position. Mover and dispensing sequence shall follow the intended feeding logic.</t>
  </si>
  <si>
    <t>MF-FW-082</t>
  </si>
  <si>
    <t>Schedule / Motor Control</t>
  </si>
  <si>
    <t>Mover motor turns OFF approximately 5 seconds after dispenser turns ON</t>
  </si>
  <si>
    <t>Verify synchronization between mover motor operation and dispenser ON timing</t>
  </si>
  <si>
    <t>Valid schedule configured and feeder ready for operation</t>
  </si>
  <si>
    <t>1. Start scheduled feeding.
 2. Observe dispenser ON command. 
3. Monitor mover motor continuously. 
4. Record mover motor OFF timing relative to dispenser operation.</t>
  </si>
  <si>
    <t>Mover motor shall operate according to the defined schedule and D&amp;D timing sequence and shall not turn OFF unexpectedly during dispensing.</t>
  </si>
  <si>
    <t>MF-FW-083</t>
  </si>
  <si>
    <t>Mover motor turns OFF 5–10 seconds before intended ON/operating period</t>
  </si>
  <si>
    <t>Verify that mover motor does not stop earlier than the configured timing sequence</t>
  </si>
  <si>
    <t>Valid feeding schedule active</t>
  </si>
  <si>
    <t>1. Start scheduled cycle. 
2. Record configured schedule timing.
 3. Monitor mover motor ON/OFF status. 
4. Compare actual motor timing against configured timing.</t>
  </si>
  <si>
    <t>Mover motor ON/OFF operation shall follow the defined schedule timing and shall not turn OFF prematurely.</t>
  </si>
  <si>
    <t>MF-FW-084</t>
  </si>
  <si>
    <t>Mover motor turns ON 5–10 seconds later than intended</t>
  </si>
  <si>
    <t>Verify that mover motor starts according to the configured schedule timing</t>
  </si>
  <si>
    <t>Valid feeding schedule active and system ready</t>
  </si>
  <si>
    <t>1. Start scheduled cycle. 
2. Record scheduled mover motor ON time. 
3. Observe actual mover motor start time.
 4. Compare actual versus configured timing.</t>
  </si>
  <si>
    <t>Mover motor shall start according to the defined schedule timing without unintended delay.</t>
  </si>
  <si>
    <t>MF-FW-085</t>
  </si>
  <si>
    <t>Sensor / Schedule / Functionality</t>
  </si>
  <si>
    <t>Stop sensor is detected during schedule OFF time and feed is dispensed during the next cycle in the rest area</t>
  </si>
  <si>
    <t>Verify system behavior when stop sensor is detected during schedule OFF period</t>
  </si>
  <si>
    <t>Schedule configured; feeder operating and stop sensor available</t>
  </si>
  <si>
    <t xml:space="preserve">1. Allow feeder to enter schedule OFF period. 
2. Trigger/detect stop sensor. 
3. Observe mover motor response. 
4. Wait for next scheduled ON cycle.
 5. Observe dispenser and mover sequence.
</t>
  </si>
  <si>
    <t>Stop-sensor detection during schedule OFF time shall not cause feed to be dispensed in the rest/home area during the next feeding cycle. Feeding shall start only at the intended feeding position/condition.</t>
  </si>
  <si>
    <t>MF-FW-086</t>
  </si>
  <si>
    <t>Sensor / Fail-Safe</t>
  </si>
  <si>
    <t>Bin Empty detected followed by return to HOME; stop sensor fails to detect</t>
  </si>
  <si>
    <t>Verify safe system behavior if stop sensor detection fails during return-to-HOME operation</t>
  </si>
  <si>
    <t>Bin Empty condition active and feeder away from HOME position</t>
  </si>
  <si>
    <t>1. Initiate/trigger Bin Empty condition. 
2. Allow configured wait period of 5 minutes. 
3. Observe feeder return toward HOME. 
4. Simulate or reproduce failure of stop-sensor detection where permitted by the approved test setup.
 5. Observe mover motor behavior.</t>
  </si>
  <si>
    <t>The system shall not continue driving indefinitely toward the mechanical end/anchor when the expected stop condition is not detected. A defined fail-safe response shall prevent continuous motor operation and potential mechanical damage.</t>
  </si>
  <si>
    <t>MF-FW-087</t>
  </si>
  <si>
    <t>Sensor / Restart / Safety</t>
  </si>
  <si>
    <t>After Bin Empty + stop sensor detection + schedule stop + full system restart, mover continuously runs toward dyke until new schedule is given</t>
  </si>
  <si>
    <t>Verify safe recovery and mover state after restart following Bin Empty/stop-sensor event</t>
  </si>
  <si>
    <t>Bin Empty detected, stop sensor detected, schedule stopped and system ready for restart</t>
  </si>
  <si>
    <t>1. Trigger Bin Empty condition. 
2. Detect stop sensor. 
3. Stop schedule. 
4. Wait for 5 minutes.
 5. Restart complete setup. 
6. Observe PM/mover behavior without providing a new schedule.</t>
  </si>
  <si>
    <t>After restart, the mover motor shall remain in a defined safe state and shall not continuously run toward the dyke/anchor stop without a valid movement command or schedule.</t>
  </si>
  <si>
    <t>-A2221[''''''''''''''''''''''''''''''''''''''''''''''''''''''''''''''''''''''''''''''''''''''''''''''''''''''''''''''''''''''''''''''''''''''''''''''''''''''''''''''''''''''''''''''''''''''''''''''''''''''''''''''''''''''''''''''''''''''''''''''''''''''''''''''''''''''''''''''''''''''''''''''''''''''''''''[[[[[[[[[[[[[[[[[[[[[[[[[[[[[[[[[[[[[[[[[[[[[[[[[['''''''''''''''''''''''</t>
  </si>
  <si>
    <t>...................................................................................................................................................................................................................................................................................................................................................................................................................................................................................................................................................................................................................................................................................................................................................................................................................................................................................</t>
  </si>
  <si>
    <t>.........................................................................................................................................,,,,,,,,,,,,,,,,,,,,,,,,,,,,,,,,,,,,,,,,,,,,,,,,,,,,,,,,,,&gt;?L</t>
  </si>
  <si>
    <t>MF-CC-001</t>
  </si>
  <si>
    <t>Cloud</t>
  </si>
  <si>
    <t>Device Registration</t>
  </si>
  <si>
    <t>Verify feeder registers successfully with cloud</t>
  </si>
  <si>
    <t>Internet available</t>
  </si>
  <si>
    <t>1. Power ON feeder.2. Connect network.3. Wait for registration.4. Open cloud portal.5. Verify device.</t>
  </si>
  <si>
    <t>Device is successfully registered.</t>
  </si>
  <si>
    <t>MF-CC-002</t>
  </si>
  <si>
    <t>Device Authentication</t>
  </si>
  <si>
    <t>Verify secure cloud authentication</t>
  </si>
  <si>
    <t>Device registered</t>
  </si>
  <si>
    <t>1. Connect to cloud.2. Verify credentials.3. Login.4. Observe connection.5. Record.</t>
  </si>
  <si>
    <t>Device authenticates successfully.</t>
  </si>
  <si>
    <t>MF-CC-003</t>
  </si>
  <si>
    <t>Online Status</t>
  </si>
  <si>
    <t>Verify online status update</t>
  </si>
  <si>
    <t>Device connected</t>
  </si>
  <si>
    <t>1. Connect network.2. Open dashboard.3. Refresh page.4. Observe status.5. Record.</t>
  </si>
  <si>
    <t>Device shows Online.</t>
  </si>
  <si>
    <t>MF-CC-004</t>
  </si>
  <si>
    <t>Offline Status</t>
  </si>
  <si>
    <t>Verify offline indication</t>
  </si>
  <si>
    <t>Device online</t>
  </si>
  <si>
    <t>1. Disconnect network.2. Wait.3. Refresh dashboard.4. Observe status.5. Record.</t>
  </si>
  <si>
    <t>Device changes to Offline.</t>
  </si>
  <si>
    <t>MF-CC-005</t>
  </si>
  <si>
    <t>Schedule Download</t>
  </si>
  <si>
    <t>Verify cloud schedule download</t>
  </si>
  <si>
    <t>1. Create schedule in cloud.2. Sync device.3. Open controller.4. Verify schedule.5. Record.</t>
  </si>
  <si>
    <t>Schedule downloaded successfully.</t>
  </si>
  <si>
    <t>MF-CC-006</t>
  </si>
  <si>
    <t>Schedule Upload</t>
  </si>
  <si>
    <t>Verify local schedule upload</t>
  </si>
  <si>
    <t>Controller configured</t>
  </si>
  <si>
    <t>1. Configure schedule locally.2. Upload to cloud.3. Open cloud.4. Verify schedule.5. Record.</t>
  </si>
  <si>
    <t>Schedule uploaded correctly.</t>
  </si>
  <si>
    <t>MF-CC-007</t>
  </si>
  <si>
    <t>Remote Schedule Update</t>
  </si>
  <si>
    <t>Verify schedule modification from cloud</t>
  </si>
  <si>
    <t>Existing schedule</t>
  </si>
  <si>
    <t>1. Modify schedule.2. Save.3. Sync.4. Observe controller.5. Verify values.</t>
  </si>
  <si>
    <t>Updated schedule received by feeder.</t>
  </si>
  <si>
    <t>MF-CC-008</t>
  </si>
  <si>
    <t>Remote Start Command</t>
  </si>
  <si>
    <t>Verify remote feeder start</t>
  </si>
  <si>
    <t>1. Open cloud.2. Send Start command.3. Observe feeder.4. Verify movement.5. Record.</t>
  </si>
  <si>
    <t>Feeder starts remotely.</t>
  </si>
  <si>
    <t>MF-CC-009</t>
  </si>
  <si>
    <t>Remote Stop Command</t>
  </si>
  <si>
    <t>Verify remote feeder stop</t>
  </si>
  <si>
    <t>1. Send Stop command.2. Observe feeder.3. Verify stop.4. Check status.5. Record.</t>
  </si>
  <si>
    <t>Feeder stops safely.</t>
  </si>
  <si>
    <t>MF-CC-010</t>
  </si>
  <si>
    <t>Remote Restart</t>
  </si>
  <si>
    <t>Verify remote restart command</t>
  </si>
  <si>
    <t>1. Send Restart command.2. Observe reboot.3. Wait for boot.4. Verify online.5. Record.</t>
  </si>
  <si>
    <t>Device restarts successfully.</t>
  </si>
  <si>
    <t>MF-CC-011</t>
  </si>
  <si>
    <t>Telemetry Upload</t>
  </si>
  <si>
    <t>Verify telemetry upload</t>
  </si>
  <si>
    <t>Feeder operating</t>
  </si>
  <si>
    <t>1. Execute schedule.2. Observe dashboard.3. Verify movement data.4. Verify feed data.5. Record.</t>
  </si>
  <si>
    <t>Telemetry uploads correctly.</t>
  </si>
  <si>
    <t>MF-CC-012</t>
  </si>
  <si>
    <t>Battery Status Upload</t>
  </si>
  <si>
    <t>Verify battery information upload</t>
  </si>
  <si>
    <t>1. Start feeder.2. Observe battery level.3. Open cloud.4. Compare values.5. Record.</t>
  </si>
  <si>
    <t>Battery status matches actual value.</t>
  </si>
  <si>
    <t>MF-CC-013</t>
  </si>
  <si>
    <t>Current Data Upload</t>
  </si>
  <si>
    <t>Verify motor current upload</t>
  </si>
  <si>
    <t>1. Run feeder.2. Measure current.3. Open cloud.4. Compare readings.5. Record.</t>
  </si>
  <si>
    <t>Cloud displays correct current.</t>
  </si>
  <si>
    <t>MF-CC-014</t>
  </si>
  <si>
    <t>Temperature Upload</t>
  </si>
  <si>
    <t>Verify motor temperature upload</t>
  </si>
  <si>
    <t>1. Run feeder.2. Measure motor temperature.3. Compare with cloud.4. Verify updates.5. Record.</t>
  </si>
  <si>
    <t>Temperature updates correctly.</t>
  </si>
  <si>
    <t>MF-CC-015</t>
  </si>
  <si>
    <t>Bin Empty Notification</t>
  </si>
  <si>
    <t>Verify cloud Bin Empty alert</t>
  </si>
  <si>
    <t>Hopper  empty</t>
  </si>
  <si>
    <t>1. Empty hopper.2. Start schedule.3. Trigger alarm.4. Check cloud.5. Record.</t>
  </si>
  <si>
    <t>Bin Empty notification received.</t>
  </si>
  <si>
    <t>MF-CC-016</t>
  </si>
  <si>
    <t>Starter Event Upload</t>
  </si>
  <si>
    <t>Verify starter detection event upload</t>
  </si>
  <si>
    <t>Starter sensor active</t>
  </si>
  <si>
    <t>1. Execute schedule.2. Detect starter.3. Observe cloud.4. Verify event.5. Record.</t>
  </si>
  <si>
    <t>Starter event uploaded.</t>
  </si>
  <si>
    <t>MF-CC-017</t>
  </si>
  <si>
    <t>Stopper Event Upload</t>
  </si>
  <si>
    <t>Verify stopper detection upload</t>
  </si>
  <si>
    <t>Stopper active</t>
  </si>
  <si>
    <t>1. Execute movement.2. Detect stopper.3. Observe dashboard.4. Verify event.5. Record.</t>
  </si>
  <si>
    <t>Stopper event uploaded.</t>
  </si>
  <si>
    <t>MF-CC-018</t>
  </si>
  <si>
    <t>Daily Feed Report</t>
  </si>
  <si>
    <t>Verify daily feed summary</t>
  </si>
  <si>
    <t>Daily schedules completed</t>
  </si>
  <si>
    <t>1. Execute all schedules.2. Open report.3. Compare TF.4. Verify values.5. Record.</t>
  </si>
  <si>
    <t>Daily feed report generated.</t>
  </si>
  <si>
    <t>MF-CC-019</t>
  </si>
  <si>
    <t>Historical Data</t>
  </si>
  <si>
    <t>Verify historical records</t>
  </si>
  <si>
    <t>Data available</t>
  </si>
  <si>
    <t>1. Open history.2. Select date.3. Compare logs.4. Verify events.5. Record.</t>
  </si>
  <si>
    <t>Historical data available.</t>
  </si>
  <si>
    <t>MF-CC-020</t>
  </si>
  <si>
    <t>Alarm Synchronization</t>
  </si>
  <si>
    <t>Verify alarm synchronization</t>
  </si>
  <si>
    <t>Alarm triggered</t>
  </si>
  <si>
    <t>1. Trigger alarm.2. Observe controller.3. Observe cloud.4. Compare timestamps.5. Record.</t>
  </si>
  <si>
    <t>Alarm synchronized correctly.</t>
  </si>
  <si>
    <t>MF-CC-021</t>
  </si>
  <si>
    <t>Time Synchronization</t>
  </si>
  <si>
    <t>Verify RTC sync with cloud</t>
  </si>
  <si>
    <t>1. Connect internet.2. Sync time.3. Compare RTC.4. Verify schedule.5. Record.</t>
  </si>
  <si>
    <t>RTC synchronized correctly.</t>
  </si>
  <si>
    <t>MF-CC-022</t>
  </si>
  <si>
    <t>Network Recovery</t>
  </si>
  <si>
    <t>Verify automatic reconnection</t>
  </si>
  <si>
    <t>Network disconnected</t>
  </si>
  <si>
    <t>1. Disconnect internet.2. Wait.3. Restore network.4. Observe reconnection.5. Record.</t>
  </si>
  <si>
    <t>Device reconnects automatically.</t>
  </si>
  <si>
    <t>MF-CC-023</t>
  </si>
  <si>
    <t>Data Buffering</t>
  </si>
  <si>
    <t>Verify offline data storage</t>
  </si>
  <si>
    <t>Internet unavailable</t>
  </si>
  <si>
    <t>1. Disconnect network.2. Execute schedule.3. Restore network.4. Check cloud.5. Record.</t>
  </si>
  <si>
    <t>Offline data uploaded after reconnection.</t>
  </si>
  <si>
    <t>MF-CC-024</t>
  </si>
  <si>
    <t>Communication Retry</t>
  </si>
  <si>
    <t>Verify retry mechanism</t>
  </si>
  <si>
    <t>Weak signal</t>
  </si>
  <si>
    <t>1. Reduce network quality.2. Observe retries.3. Restore signal.4. Verify connection.5. Record.</t>
  </si>
  <si>
    <t>Communication retries successfully.</t>
  </si>
  <si>
    <t>MF-CC-025</t>
  </si>
  <si>
    <t>Packet Loss Handling</t>
  </si>
  <si>
    <t>Verify communication during packet loss</t>
  </si>
  <si>
    <t>Network active</t>
  </si>
  <si>
    <t>1. Simulate packet loss.2. Monitor feeder.3. Observe cloud.4. Verify recovery.5. Record.</t>
  </si>
  <si>
    <t>Data integrity maintained.</t>
  </si>
  <si>
    <t>MF-CC-026</t>
  </si>
  <si>
    <t>Cloud Communication</t>
  </si>
  <si>
    <t>OTA/FOTA Notification</t>
  </si>
  <si>
    <t>Verify firmware update notification</t>
  </si>
  <si>
    <t>New firmware available</t>
  </si>
  <si>
    <t>1. Publish firmware.2. Open dashboard.3. Observe notification.4. Verify device.5. Record.</t>
  </si>
  <si>
    <t>OTA notification received.</t>
  </si>
  <si>
    <t>MF-CC-027</t>
  </si>
  <si>
    <t>OTA/Fota Firmware Update</t>
  </si>
  <si>
    <t>Verify remote firmware update</t>
  </si>
  <si>
    <t>OTA available</t>
  </si>
  <si>
    <t>1. Start OTA.2. Download firmware.3. Install update.4. Restart controller.5. Verify version.</t>
  </si>
  <si>
    <t>Firmware updates successfully.</t>
  </si>
  <si>
    <t>MF-CC-028</t>
  </si>
  <si>
    <t>Dashboard Refresh</t>
  </si>
  <si>
    <t>Verify real-time dashboard update</t>
  </si>
  <si>
    <t>Device operating</t>
  </si>
  <si>
    <t>1. Execute feeder.2. Open dashboard.3. Refresh.4. Compare data.5. Record.</t>
  </si>
  <si>
    <t>Dashboard updates in real time.</t>
  </si>
  <si>
    <t>MF-CC-029</t>
  </si>
  <si>
    <t>Cloud Event Logging</t>
  </si>
  <si>
    <t>Verify cloud event storage</t>
  </si>
  <si>
    <t>1. Generate events.2. Open logs.3. Compare events.4. Verify timestamps.5. Record.</t>
  </si>
  <si>
    <t>Events stored accurately.</t>
  </si>
  <si>
    <t>MF-CC-030</t>
  </si>
  <si>
    <t>End-to-End Cloud Verification</t>
  </si>
  <si>
    <t>Verify complete cloud communication workflow</t>
  </si>
  <si>
    <t>1. Register device.2. Download schedule.3. Execute feeding.4. Upload telemetry and alarms.5. Verify dashboard and logs.</t>
  </si>
  <si>
    <t>End-to-end cloud communication functions successfully.</t>
  </si>
  <si>
    <t>MF-CC-031</t>
  </si>
  <si>
    <t>Last Communication Time – Online/Offline</t>
  </si>
  <si>
    <t>Verify last communication time updates correctly</t>
  </si>
  <si>
    <t>Feeder online</t>
  </si>
  <si>
    <t>1. Connect feeder to network.2. Check last communication time.3. Disconnect network.4. Wait for offline status.5. Check last communication time.6. Restore network.7. Verify updated time.</t>
  </si>
  <si>
    <t>Communication time updates correctly.</t>
  </si>
  <si>
    <t>MF-CC-032</t>
  </si>
  <si>
    <t>Schedule Updating Time</t>
  </si>
  <si>
    <t>Verify schedule update reaches the feeder within the expected time</t>
  </si>
  <si>
    <t>1. Open cloud dashboard.2. Create or modify a schedule.3. Save the schedule.4. Record update time.5. Check feeder.6. Record received time.7. Compare both timestamps.</t>
  </si>
  <si>
    <t>Schedule updates within the specified time.</t>
  </si>
  <si>
    <t>MF-REL-001</t>
  </si>
  <si>
    <t>Reliability</t>
  </si>
  <si>
    <t>In House Testing</t>
  </si>
  <si>
    <t>24-Hour Continuous Operation</t>
  </si>
  <si>
    <t>Verify continuous operation for 24 hours</t>
  </si>
  <si>
    <t>1. Configure continuous schedule.2. Start feeder.3. Monitor operation.4. Complete 24 hours.5. Record observations.</t>
  </si>
  <si>
    <t>Feeder operates continuously without faults.</t>
  </si>
  <si>
    <t>MF-REL-002</t>
  </si>
  <si>
    <t>48-Hour Continuous Operation</t>
  </si>
  <si>
    <t>Verify stability for 48 hours</t>
  </si>
  <si>
    <t>1. Configure schedule.2. Start feeder.3. Monitor periodically.4. Complete 48 hours.5. Record results.</t>
  </si>
  <si>
    <t>No abnormal behavior during operation.</t>
  </si>
  <si>
    <t>MF-REL-003</t>
  </si>
  <si>
    <t>Multiple Start/Stop Cycles</t>
  </si>
  <si>
    <t>Verify repeated start and stop operations</t>
  </si>
  <si>
    <t>Normal condition</t>
  </si>
  <si>
    <t>1. Configure schedule.2. Execute 100 start/stop cycles.3. Observe system.4. Check logs.5. Record.</t>
  </si>
  <si>
    <t>No failure after repeated cycles.</t>
  </si>
  <si>
    <t>MF-REL-004</t>
  </si>
  <si>
    <t>Continuous Forward Movement</t>
  </si>
  <si>
    <t>Verify forward movement reliability</t>
  </si>
  <si>
    <t>Feeder at bank</t>
  </si>
  <si>
    <t>1. Start forward movement.2. Complete travel.3. Repeat cycles.4. Observe motors.5. Record.</t>
  </si>
  <si>
    <t>Smooth forward movement in every cycle.</t>
  </si>
  <si>
    <t>MF-REL-005</t>
  </si>
  <si>
    <t>Continuous Return Movement</t>
  </si>
  <si>
    <t>Verify return-to-bank reliability</t>
  </si>
  <si>
    <t>Feeder at end</t>
  </si>
  <si>
    <t>1. Command return.2. Observe travel.3. Repeat cycles.4. Check home position.5. Record.</t>
  </si>
  <si>
    <t>Feeder always returns correctly.</t>
  </si>
  <si>
    <t>MF-REL-006</t>
  </si>
  <si>
    <t>Repeated Feed Dispensing</t>
  </si>
  <si>
    <t>Verify dispenser reliability</t>
  </si>
  <si>
    <t>1. Configure schedule.2. Execute 100 feed cycles.3. Measure output.4. Compare values.5. Record.</t>
  </si>
  <si>
    <t>Feed dispensing remains consistent.</t>
  </si>
  <si>
    <t>MF-REL-007</t>
  </si>
  <si>
    <t>Full Hopper Endurance</t>
  </si>
  <si>
    <t>Verify movement with full Loaded hopper</t>
  </si>
  <si>
    <t>1. Fill hopper.2. Run schedules.3. Monitor movement.4. Complete test.5. Record.</t>
  </si>
  <si>
    <t>No movement issues under full load.</t>
  </si>
  <si>
    <t>MF-REL-008</t>
  </si>
  <si>
    <t>Empty Hopper Endurance</t>
  </si>
  <si>
    <t>Verify operation with empty hopper</t>
  </si>
  <si>
    <t>1. Empty hopper.2. Execute schedule.3. Observe movement.4. Verify alarms.5. Record.</t>
  </si>
  <si>
    <t>Stable operation with Bin Empty detection.</t>
  </si>
  <si>
    <t>MF-REL-009</t>
  </si>
  <si>
    <t>Starter Sensor Repeatability</t>
  </si>
  <si>
    <t>Verify starter sensor repeatability</t>
  </si>
  <si>
    <t>1. Run feeder.2. Detect starter repeatedly.3. Count detections.4. Compare logs.5. Record.</t>
  </si>
  <si>
    <t>Starter detected consistently.</t>
  </si>
  <si>
    <t>MF-REL-010</t>
  </si>
  <si>
    <t>Stopper Sensor Repeatability</t>
  </si>
  <si>
    <t>Verify stopper sensor repeatability</t>
  </si>
  <si>
    <t>Stopper sensor active</t>
  </si>
  <si>
    <t>1. Execute repeated movements.2. Observe stopper detection.3. Compare logs.4. Repeat.5. Record.</t>
  </si>
  <si>
    <t>Stopper detected consistently.</t>
  </si>
  <si>
    <t>MF-REL-011</t>
  </si>
  <si>
    <t>Bin Empty Detection Repeatability</t>
  </si>
  <si>
    <t>Verify repeated Bin Empty detection</t>
  </si>
  <si>
    <t>1. Execute schedules.2. Trigger Bin Empty.3. Observe alarms.4. Repeat test.5. Record.</t>
  </si>
  <si>
    <t>Bin Empty always detected correctly.</t>
  </si>
  <si>
    <t>MF-REL-012</t>
  </si>
  <si>
    <t>Controller Stability</t>
  </si>
  <si>
    <t>Verify controller stability</t>
  </si>
  <si>
    <t>1. Operate continuously.2. Monitor controller.3. Observe resets.4. Check logs.5. Record.</t>
  </si>
  <si>
    <t>No unexpected resets.</t>
  </si>
  <si>
    <t>MF-REL-013</t>
  </si>
  <si>
    <t>Firmware Stability</t>
  </si>
  <si>
    <t>Verify firmware during long operation</t>
  </si>
  <si>
    <t>Firmware loaded</t>
  </si>
  <si>
    <t>1. Execute schedules.2. Monitor firmware.3. Observe crashes.4. Check logs.5. Record.</t>
  </si>
  <si>
    <t>Firmware remains stable.</t>
  </si>
  <si>
    <t>MF-REL-014</t>
  </si>
  <si>
    <t>Motor Temperature Stability</t>
  </si>
  <si>
    <t>Verify motor temperature over time</t>
  </si>
  <si>
    <t>1. Start feeder.2. Measure temperature periodically.3. Compare values.4. Continue operation.5. Record.</t>
  </si>
  <si>
    <t>Temperature remains within limits.</t>
  </si>
  <si>
    <t>MF-REL-015</t>
  </si>
  <si>
    <t>Motor Current Stability</t>
  </si>
  <si>
    <t>Verify current remains stable</t>
  </si>
  <si>
    <t>1. Measure current.2. Repeat cycles.3. Compare values.4. Observe spikes.5. Record.</t>
  </si>
  <si>
    <t>Current remains within specified range.</t>
  </si>
  <si>
    <t>MF-REL-016</t>
  </si>
  <si>
    <t>Battery Endurance</t>
  </si>
  <si>
    <t>Verify battery supports extended operation</t>
  </si>
  <si>
    <t>Battery fully charged</t>
  </si>
  <si>
    <t>1. Disconnect charger.2. Start feeder.3. Run continuously.4. Monitor voltage.5. Record.</t>
  </si>
  <si>
    <t>Battery supports expected runtime.</t>
  </si>
  <si>
    <t>MF-REL-017</t>
  </si>
  <si>
    <t>Communication Stability</t>
  </si>
  <si>
    <t>Verify stable communication</t>
  </si>
  <si>
    <t>Network connected</t>
  </si>
  <si>
    <t>1. Operate feeder.2. Monitor connection.3. Observe disconnects.4. Review logs.5. Record.</t>
  </si>
  <si>
    <t>Communication remains stable.</t>
  </si>
  <si>
    <t>MF-REL-018</t>
  </si>
  <si>
    <t>RTC Accuracy</t>
  </si>
  <si>
    <t>Verify RTC during long operation</t>
  </si>
  <si>
    <t>1. Set RTC.2. Run feeder.3. Compare time after test.4. Verify drift.5. Record.</t>
  </si>
  <si>
    <t>MF-REL-019</t>
  </si>
  <si>
    <t>Daily Schedule Reliability</t>
  </si>
  <si>
    <t>Verify daily schedule execution</t>
  </si>
  <si>
    <t>1. Configure daily schedules.2. Run for one day.3. Observe execution.4. Compare logs.5. Record.</t>
  </si>
  <si>
    <t>All schedules execute successfully.</t>
  </si>
  <si>
    <t>MF-REL-020</t>
  </si>
  <si>
    <t>Weekly Simulation</t>
  </si>
  <si>
    <t>Verify operation over one week</t>
  </si>
  <si>
    <t>1. Configure schedules.2. Run daily.3. Monitor operation.4. Review logs.5. Record.</t>
  </si>
  <si>
    <t>No reliability issues during the week.</t>
  </si>
  <si>
    <t>MF-REL-021</t>
  </si>
  <si>
    <t>Repeated Power Cycling</t>
  </si>
  <si>
    <t>Verify repeated power ON/OFF</t>
  </si>
  <si>
    <t>1. Power ON.2. Boot controller.3. Power OFF.4. Repeat 50 cycles.5. Record.</t>
  </si>
  <si>
    <t>System boots successfully every cycle.</t>
  </si>
  <si>
    <t>MF-REL-022</t>
  </si>
  <si>
    <t>Schedule Memory Retention</t>
  </si>
  <si>
    <t>Verify schedule retention</t>
  </si>
  <si>
    <t>1. Save schedules.2. Restart controller.3. Verify schedules.4. Repeat.5. Record.</t>
  </si>
  <si>
    <t>Schedule data retained correctly.</t>
  </si>
  <si>
    <t>MF-REL-023</t>
  </si>
  <si>
    <t>Sensor Reliability</t>
  </si>
  <si>
    <t>Verify all sensors during extended operation</t>
  </si>
  <si>
    <t>1. Run feeder.2. Trigger sensors.3. Observe readings.4. Compare logs.5. Record.</t>
  </si>
  <si>
    <t>Sensors operate consistently.</t>
  </si>
  <si>
    <t>MF-REL-024</t>
  </si>
  <si>
    <t>Alarm Reliability</t>
  </si>
  <si>
    <t>Verify alarms under repeated faults</t>
  </si>
  <si>
    <t>Fault conditions available</t>
  </si>
  <si>
    <t>1. Generate faults.2. Observe alarms.3. Clear faults.4. Repeat.5. Record.</t>
  </si>
  <si>
    <t>Alarms generated every time.</t>
  </si>
  <si>
    <t>MF-REL-025</t>
  </si>
  <si>
    <t>Return-to-Bank Reliability</t>
  </si>
  <si>
    <t>Verify repeated return operation</t>
  </si>
  <si>
    <t>1. Complete schedule.2. Return to bank.3. Repeat cycles.4. Verify position.5. Record.</t>
  </si>
  <si>
    <t>Feeder returns accurately every time.</t>
  </si>
  <si>
    <t>MF-REL-026</t>
  </si>
  <si>
    <t>Data Logging Reliability</t>
  </si>
  <si>
    <t>Verify log storage</t>
  </si>
  <si>
    <t>Logging enabled</t>
  </si>
  <si>
    <t>1. Execute schedules.2. Generate events.3. Open logs.4. Compare entries.5. Record.</t>
  </si>
  <si>
    <t>All events logged correctly.</t>
  </si>
  <si>
    <t>MF-REL-027</t>
  </si>
  <si>
    <t>Recovery After Network Loss</t>
  </si>
  <si>
    <t>Verify recovery after communication failure</t>
  </si>
  <si>
    <t>Cloud connected</t>
  </si>
  <si>
    <t>1. Disconnect network.2. Continue operation.3. Restore network.4. Verify synchronization.5. Record.</t>
  </si>
  <si>
    <t>System reconnects and synchronizes data.</t>
  </si>
  <si>
    <t>MF-REL-028</t>
  </si>
  <si>
    <t>Recovery After Controller Restart</t>
  </si>
  <si>
    <t>Verify operation after restart</t>
  </si>
  <si>
    <t>1. Restart controller.2. Wait for boot.3. Observe schedule.4. Verify functionality.5. Record.</t>
  </si>
  <si>
    <t>System resumes normal operation.</t>
  </si>
  <si>
    <t>MF-REL-029</t>
  </si>
  <si>
    <t>Endurance with Continuous Feeding</t>
  </si>
  <si>
    <t>Verify long-duration feeding</t>
  </si>
  <si>
    <t>Hopper full</t>
  </si>
  <si>
    <t>1. Configure multiple schedules.2. Run continuously.3. Observe feeder.4. Measure feed accuracy.5. Record.</t>
  </si>
  <si>
    <t>Stable feeding throughout endurance test.</t>
  </si>
  <si>
    <t>MF-REL-030</t>
  </si>
  <si>
    <t>Complete System Reliability</t>
  </si>
  <si>
    <t>Verify complete system reliability</t>
  </si>
  <si>
    <t>Entire system operational</t>
  </si>
  <si>
    <t>1. Execute full daily schedule.2. Monitor movement, feeding, sensors, and communication.3. Complete endurance period.4. Inspect system.5. Record results.</t>
  </si>
  <si>
    <t>Entire system operates reliably without unexpected failures.</t>
  </si>
  <si>
    <t>MF-REL-031</t>
  </si>
  <si>
    <t>Verify Nursery Feeder reliability while operating continuously at the maximum defined load</t>
  </si>
  <si>
    <t>Nursery Feeder installed and maximum defined feed load available</t>
  </si>
  <si>
    <t>1. Set the feeder to the maximum defined load.2. Start feeding operation.3. Continuously operate the feeder under maximum load.4. Monitor Doser, Dispenser, power and feeding operation.5. Record observations and system condition.</t>
  </si>
  <si>
    <t>Feeder operates continuously under maximum load without functional impact, abnormal heating, motor issues or feeding interruption.</t>
  </si>
  <si>
    <t>MF-REL-032</t>
  </si>
  <si>
    <t>Long-Run – 1 Week</t>
  </si>
  <si>
    <t>Verify overall Nursery Feeder reliability and data stability during continuous operation for up to 1 week</t>
  </si>
  <si>
    <t>Nursery Feeder installed, schedules configured and system operational</t>
  </si>
  <si>
    <t>1. Configure all required feeding schedules.2. Operate the feeder continuously for up to 1 week.3. Monitor all scheduled feeding operations.4. Review device and feeding data throughout the test.5. Analyze logs after completion.</t>
  </si>
  <si>
    <t>No functional impacts. All schedules run as expected. No exceptions are observed in the data. No errors are observed in the data.</t>
  </si>
  <si>
    <t>MF-REL-033</t>
  </si>
  <si>
    <t>Continuous Schedule Execution</t>
  </si>
  <si>
    <t>Verify reliable execution of scheduled feeding over long-duration operation</t>
  </si>
  <si>
    <t>Feeder operational with multiple schedules configured</t>
  </si>
  <si>
    <t>1. Configure daily schedules.2. Run feeder continuously.3. Observe each scheduled feeding cycle.4. Compare execution with configured schedule.5. Review schedule logs.</t>
  </si>
  <si>
    <t>All configured schedules execute at the expected time without missed or unintended feeding cycles.</t>
  </si>
  <si>
    <t>MF-REL-034</t>
  </si>
  <si>
    <t>Feeding Data Integrity During Long Run</t>
  </si>
  <si>
    <t>Verify data integrity during continuous operation</t>
  </si>
  <si>
    <t>Feeder operational and data logging enabled</t>
  </si>
  <si>
    <t>1. Start long-duration operation.2. Allow scheduled feeding cycles to execute.3. Monitor recorded feeding data.4. Check for missing or abnormal records.5. Review complete data after testing.</t>
  </si>
  <si>
    <t>Feeding data is recorded correctly without missing records, unexpected exceptions or data errors.</t>
  </si>
  <si>
    <t>MF-REL-035</t>
  </si>
  <si>
    <t>Repeated Feeding Cycle Reliability</t>
  </si>
  <si>
    <t>Verify consistent operation over repeated feeding cycles</t>
  </si>
  <si>
    <t>Feeder operational with repeated schedules</t>
  </si>
  <si>
    <t>1. Configure repeated feeding cycles.2. Run the feeder continuously.3. Monitor Doser and Dispenser operation.4. Record feeding results.5. Compare repeated cycles.</t>
  </si>
  <si>
    <t>Feeding cycles operate consistently without functional degradation or abnormal behavior.</t>
  </si>
  <si>
    <t>MF-REL-036</t>
  </si>
  <si>
    <t>Long-Term Doser Operation</t>
  </si>
  <si>
    <t>Verify Doser reliability during repeated operation</t>
  </si>
  <si>
    <t>Doser installed and operational</t>
  </si>
  <si>
    <t>1. Configure repeated feeding cycles.2. Operate Doser continuously as per schedule.3. Monitor Doser operation.4. Check for abnormal behavior.5. Inspect Doser after testing.</t>
  </si>
  <si>
    <t>Doser operates reliably without functional interruption, abnormal heating or mechanical issues.</t>
  </si>
  <si>
    <t>MF-REL-037</t>
  </si>
  <si>
    <t>Long-Term Dispenser Operation</t>
  </si>
  <si>
    <t>Verify Dispenser reliability during repeated operation</t>
  </si>
  <si>
    <t>Dispenser installed and operational</t>
  </si>
  <si>
    <t>1. Configure repeated feeding cycles.2. Operate Dispenser as per schedule.3. Monitor dispensing operation.4. Check for abnormal behavior.5. Inspect Dispenser after testing.</t>
  </si>
  <si>
    <t>Dispenser operates reliably without functional interruption or abnormal behavior.</t>
  </si>
  <si>
    <t>MF-REL-038</t>
  </si>
  <si>
    <t>Power Stability During Long Run</t>
  </si>
  <si>
    <t>Verify stable power operation during long-duration feeding</t>
  </si>
  <si>
    <t>Feeder powered and operational</t>
  </si>
  <si>
    <t>1. Record initial voltage.2. Run feeder continuously.3. Monitor voltage and current periodically.4. Check feeding operation.5. Review power data.</t>
  </si>
  <si>
    <t>Power remains stable enough to support all scheduled operations without functional impact.</t>
  </si>
  <si>
    <t>MF-REL-039</t>
  </si>
  <si>
    <t>Sensor Reliability During Long Run</t>
  </si>
  <si>
    <t>Verify sensor operation during continuous feeder operation</t>
  </si>
  <si>
    <t>Sensors connected and operational</t>
  </si>
  <si>
    <t>1. Start long-duration operation.2. Monitor sensor readings.3. Compare readings with system events.4. Check for missing or abnormal readings.5. Review sensor logs.</t>
  </si>
  <si>
    <t>Sensors provide consistent data throughout the test without unexpected errors or missing records.</t>
  </si>
  <si>
    <t>MF-REL-040</t>
  </si>
  <si>
    <t>System Data Synchronization Reliability</t>
  </si>
  <si>
    <t>Verify reliable synchronization of feeder data during long-duration operation</t>
  </si>
  <si>
    <t>Feeder connected to Gateway/cloud system</t>
  </si>
  <si>
    <t>1. Start scheduled operation.2. Allow feeding cycles to execute.3. Monitor device and cloud data.4. Compare recorded events.5. Review synchronization logs.</t>
  </si>
  <si>
    <t>Device and cloud data remain synchronized without unexpected data loss or errors.</t>
  </si>
  <si>
    <t>MF-REL-041</t>
  </si>
  <si>
    <t>Long-Run Functional Stability</t>
  </si>
  <si>
    <t>Verify overall functional stability of Nursery Feeder during extended operation</t>
  </si>
  <si>
    <t>Feeder fully installed and operational</t>
  </si>
  <si>
    <t>1. Configure normal feeding operation.2. Run feeder for the defined long duration.3. Monitor all major functions.4. Check schedules and recorded data.5. Review system condition after completion.</t>
  </si>
  <si>
    <t>No functional impact is observed. All required functions, schedules and data logging operate as expected throughout the test.</t>
  </si>
  <si>
    <t>MF-REL-042</t>
  </si>
  <si>
    <t>48-Hour / 500 kg Continuous Operation</t>
  </si>
  <si>
    <t>Verify the system can continuously operate for at least 48 hours or dispense 500 kg of feed without functional impact</t>
  </si>
  <si>
    <t>Nursery Feeder installed, operational, hopper loaded and feeding schedule configured</t>
  </si>
  <si>
    <r>
      <t xml:space="preserve">1. Start the feeder with the defined feeding schedule.2. Continuously operate the system and monitor feeding cycles.3. Record cumulative feed quantity and operating time.4. Monitor system, motor, schedule and data operation throughout the test.5. Continue until </t>
    </r>
    <r>
      <rPr>
        <b/>
        <sz val="11"/>
        <color theme="1"/>
        <rFont val="Aptos Narrow"/>
        <family val="2"/>
        <scheme val="minor"/>
      </rPr>
      <t>≥48 hours or ≥500 kg feed</t>
    </r>
    <r>
      <rPr>
        <sz val="11"/>
        <color theme="1"/>
        <rFont val="Aptos Narrow"/>
        <family val="2"/>
        <scheme val="minor"/>
      </rPr>
      <t xml:space="preserve"> is achieved, as applicable.</t>
    </r>
  </si>
  <si>
    <r>
      <t xml:space="preserve">The system continues operating without functional impact until </t>
    </r>
    <r>
      <rPr>
        <b/>
        <sz val="11"/>
        <color theme="1"/>
        <rFont val="Aptos Narrow"/>
        <family val="2"/>
        <scheme val="minor"/>
      </rPr>
      <t>≥48 hours or ≥500 kg of feed</t>
    </r>
    <r>
      <rPr>
        <sz val="11"/>
        <color theme="1"/>
        <rFont val="Aptos Narrow"/>
        <family val="2"/>
        <scheme val="minor"/>
      </rPr>
      <t xml:space="preserve"> is achieved. All schedules operate as expected, with no abnormal system behavior or data errors.</t>
    </r>
  </si>
  <si>
    <t>MF-PER-001</t>
  </si>
  <si>
    <t>Performance</t>
  </si>
  <si>
    <t>Verify Forward Movement Speed</t>
  </si>
  <si>
    <t>Verify feeder forward speed meets specification</t>
  </si>
  <si>
    <t>1. Place feeder at bank.2. Start movement.3. Measure travel time.4. Calculate speed.5. Record result.</t>
  </si>
  <si>
    <t>Forward speed is within specification.</t>
  </si>
  <si>
    <t>MF-PER-002</t>
  </si>
  <si>
    <t>Verify Return Speed</t>
  </si>
  <si>
    <t>Verify return-to-bank speed</t>
  </si>
  <si>
    <t>1. Command return.2. Measure travel time.3. Calculate speed.4. Compare specification.5. Record.</t>
  </si>
  <si>
    <t>Return speed is within specification.</t>
  </si>
  <si>
    <t>MF-PER-003</t>
  </si>
  <si>
    <t>Verify Travel Distance Accuracy</t>
  </si>
  <si>
    <t>Verify actual travel distance</t>
  </si>
  <si>
    <t>Rail installed</t>
  </si>
  <si>
    <t>1. Measure rail length.2. Run feeder.3. Measure actual travel.4. Compare values.5. Record.</t>
  </si>
  <si>
    <t>Travel distance matches configuration.</t>
  </si>
  <si>
    <t>MF-PER-004</t>
  </si>
  <si>
    <t>Verify TF Accuracy</t>
  </si>
  <si>
    <t>Verify Total Feed accuracy</t>
  </si>
  <si>
    <t>TF configured</t>
  </si>
  <si>
    <t>1. Configure TF.2. Run schedule.3. Collect feed.4. Weigh feed.5. Record.</t>
  </si>
  <si>
    <t>Dispensed TF within tolerance.</t>
  </si>
  <si>
    <t>MF-PER-005</t>
  </si>
  <si>
    <t>Verify OCF Accuracy</t>
  </si>
  <si>
    <t>Verify One Cycle Feed accuracy</t>
  </si>
  <si>
    <t>1. Configure OCF.2. Execute one cycle.3. Collect feed.4. Weigh feed.5. Record.</t>
  </si>
  <si>
    <t>OCF within specified tolerance.</t>
  </si>
  <si>
    <t>MF-PER-006</t>
  </si>
  <si>
    <t>Verify FGI Accuracy</t>
  </si>
  <si>
    <t>1. Configure FGI.2. Execute schedule.3. Measure interval.4. Compare values.5. Record.</t>
  </si>
  <si>
    <t>FGI matches configured value.</t>
  </si>
  <si>
    <t>MF-PER-007</t>
  </si>
  <si>
    <t>Verify Schedule Start Accuracy</t>
  </si>
  <si>
    <t>Verify schedule starts on time</t>
  </si>
  <si>
    <t>RTC synchronized</t>
  </si>
  <si>
    <t>1. Configure schedule.2. Wait for start.3. Record time.4. Compare RTC.5. Record.</t>
  </si>
  <si>
    <t>Schedule starts at configured time.</t>
  </si>
  <si>
    <t>MF-PER-008</t>
  </si>
  <si>
    <t>Verify Schedule End Accuracy</t>
  </si>
  <si>
    <t>Verify schedule ends on time</t>
  </si>
  <si>
    <t>1. Execute schedule.2. Wait for completion.3. Record end time.4. Compare.5. Record.</t>
  </si>
  <si>
    <t>Schedule ends at configured time.</t>
  </si>
  <si>
    <t>MF-PER-009</t>
  </si>
  <si>
    <t>Verify Feed Dispensing Time</t>
  </si>
  <si>
    <t>Verify dispenser cycle duration</t>
  </si>
  <si>
    <t>1. Start dispensing.2. Measure dispensing time.3. Compare specification.4. Repeat.5. Record.</t>
  </si>
  <si>
    <t>Dispensing time within specification.</t>
  </si>
  <si>
    <t>MF-PER-010</t>
  </si>
  <si>
    <t>Verify Movement Stop Accuracy</t>
  </si>
  <si>
    <t>Verify feeder stops at exact feeding point</t>
  </si>
  <si>
    <t>1. Start feeder.2. Observe stop point.3. Measure deviation.4. Compare limits.5. Record.</t>
  </si>
  <si>
    <t>Stop position is accurate.</t>
  </si>
  <si>
    <t>MF-PER-011</t>
  </si>
  <si>
    <t>Verify Motor Current</t>
  </si>
  <si>
    <t>Verify motor current during movement</t>
  </si>
  <si>
    <t>1. Measure current.2. Record values.3. Compare specification.4. Repeat.5. Record.</t>
  </si>
  <si>
    <t>Current within specified range.</t>
  </si>
  <si>
    <t>MF-PER-012</t>
  </si>
  <si>
    <t>Verify Motor Temperature</t>
  </si>
  <si>
    <t>Verify motor operating temperature</t>
  </si>
  <si>
    <t>1. Run feeder.2. Measure temperature.3. Compare limit.4. Continue operation.5. Record.</t>
  </si>
  <si>
    <t>Temperature within acceptable limit.</t>
  </si>
  <si>
    <t>MF-PER-013</t>
  </si>
  <si>
    <t>Verify Battery Consumption</t>
  </si>
  <si>
    <t>Verify battery usage</t>
  </si>
  <si>
    <t>1. Start feeder.2. Run schedules.3. Measure battery voltage.4. Compare usage.5. Record.</t>
  </si>
  <si>
    <t>Battery consumption meets specification.</t>
  </si>
  <si>
    <t>MF-PER-014</t>
  </si>
  <si>
    <t>Verify Power Consumption</t>
  </si>
  <si>
    <t>Verify total system power</t>
  </si>
  <si>
    <t>1. Connect power analyzer.2. Run feeder.3. Measure power.4. Compare specification.5. Record.</t>
  </si>
  <si>
    <t>Power consumption within specification.</t>
  </si>
  <si>
    <t>MF-PER-015</t>
  </si>
  <si>
    <t>Verify Feed Rate</t>
  </si>
  <si>
    <t>Verify feed output rate</t>
  </si>
  <si>
    <t>1. Configure TF.2. Execute schedule.3. Measure feed/time.4. Calculate rate.5. Record.</t>
  </si>
  <si>
    <t>Feed rate meets specification.</t>
  </si>
  <si>
    <t>MF-PER-016</t>
  </si>
  <si>
    <t>Verify Throughput</t>
  </si>
  <si>
    <t>Verify daily feeding capacity</t>
  </si>
  <si>
    <t>Daily schedules configured</t>
  </si>
  <si>
    <t>1. Execute daily schedule.2. Measure total feed.3. Compare target.4. Record.5. Verify.</t>
  </si>
  <si>
    <t>Daily throughput achieved.</t>
  </si>
  <si>
    <t>MF-PER-017</t>
  </si>
  <si>
    <t>Verify Controller Response Time</t>
  </si>
  <si>
    <t>Verify controller response</t>
  </si>
  <si>
    <t>1. Send command.2. Measure response time.3. Repeat.4. Compare.5. Record.</t>
  </si>
  <si>
    <t>Response within specified time.</t>
  </si>
  <si>
    <t>MF-PER-018</t>
  </si>
  <si>
    <t>Verify Starter Detection Time</t>
  </si>
  <si>
    <t>Verify starter response</t>
  </si>
  <si>
    <t>1. Reach starter.2. Measure detection time.3. Repeat.4. Compare.5. Record.</t>
  </si>
  <si>
    <t>Starter detected promptly.</t>
  </si>
  <si>
    <t>MF-PER-019</t>
  </si>
  <si>
    <t>Verify Stopper Detection Time</t>
  </si>
  <si>
    <t>Verify stopper response</t>
  </si>
  <si>
    <t>1. Reach stopper.2. Measure response.3. Compare.4. Repeat.5. Record.</t>
  </si>
  <si>
    <t>Stopper detected within specification.</t>
  </si>
  <si>
    <t>MF-PER-020</t>
  </si>
  <si>
    <t>Verify Bin Empty Response Time</t>
  </si>
  <si>
    <t>Verify Bin Empty response</t>
  </si>
  <si>
    <t>1. Trigger Bin Empty.2. Measure alarm time.3. Observe return.4. Compare.5. Record.</t>
  </si>
  <si>
    <t>Alarm generated immediately and feeder returns to bank.</t>
  </si>
  <si>
    <t>MF-PER-021</t>
  </si>
  <si>
    <t>Verify Cloud Communication Latency</t>
  </si>
  <si>
    <t>Verify cloud response time</t>
  </si>
  <si>
    <t>1. Send command.2. Measure delay.3. Observe response.4. Compare.5. Record.</t>
  </si>
  <si>
    <t>Latency within specification.</t>
  </si>
  <si>
    <t>MF-PER-022</t>
  </si>
  <si>
    <t>Verify Telemetry Update Rate</t>
  </si>
  <si>
    <t>Verify telemetry refresh frequency</t>
  </si>
  <si>
    <t>1. Start feeder.2. Observe dashboard.3. Measure update interval.4. Compare.5. Record.</t>
  </si>
  <si>
    <t>Telemetry updates at configured interval.</t>
  </si>
  <si>
    <t>MF-PER-023</t>
  </si>
  <si>
    <t>Verify Multiple Schedule Performance</t>
  </si>
  <si>
    <t>Verify execution under multiple schedules</t>
  </si>
  <si>
    <t>1. Configure schedules.2. Execute all.3. Observe timing.4. Compare.5. Record.</t>
  </si>
  <si>
    <t>All schedules execute without delay.</t>
  </si>
  <si>
    <t>MF-PER-024</t>
  </si>
  <si>
    <t>Verify Full Load Performance</t>
  </si>
  <si>
    <t>Verify performance under maximum load</t>
  </si>
  <si>
    <t>1. Fill hopper.2. Execute schedule.3. Observe movement.4. Measure current.5. Record.</t>
  </si>
  <si>
    <t>System performs within specification.</t>
  </si>
  <si>
    <t>MF-PER-025</t>
  </si>
  <si>
    <t>Verify Empty Load Performance</t>
  </si>
  <si>
    <t>Verify performance without feed</t>
  </si>
  <si>
    <t>1. Empty hopper.2. Execute schedule.3. Observe movement.4. Verify alarm.5. Record.</t>
  </si>
  <si>
    <t>Movement remains stable and Bin Empty detected.</t>
  </si>
  <si>
    <t>MF-PER-026</t>
  </si>
  <si>
    <t>Verify Continuous Operation Performance</t>
  </si>
  <si>
    <t>Verify performance over long duration</t>
  </si>
  <si>
    <t>1. Run feeder continuously.2. Monitor parameters.3. Observe stability.4. Compare readings.5. Record.</t>
  </si>
  <si>
    <t>Performance remains stable.</t>
  </si>
  <si>
    <t>MF-PER-027</t>
  </si>
  <si>
    <t>Verify Motor Efficiency</t>
  </si>
  <si>
    <t>Verify motor efficiency during operation</t>
  </si>
  <si>
    <t>Normal load</t>
  </si>
  <si>
    <t>1. Measure input power.2. Measure output.3. Calculate efficiency.4. Compare.5. Record.</t>
  </si>
  <si>
    <t>Motor efficiency meets specification.</t>
  </si>
  <si>
    <t>MF-PER-028</t>
  </si>
  <si>
    <t>Verify Repeatability</t>
  </si>
  <si>
    <t>Verify repeated performance consistency</t>
  </si>
  <si>
    <t>1. Execute identical schedules.2. Measure outputs.3. Compare results.4. Repeat.5. Record.</t>
  </si>
  <si>
    <t>Results remain consistent across cycles.</t>
  </si>
  <si>
    <t>MF-PER-029</t>
  </si>
  <si>
    <t>Verify Peak Load Operation</t>
  </si>
  <si>
    <t>Verify operation at maximum configured feed</t>
  </si>
  <si>
    <t>Maximum TF configured</t>
  </si>
  <si>
    <t>1. Configure maximum TF.2. Execute schedule.3. Observe feeder.4. Measure parameters.5. Record.</t>
  </si>
  <si>
    <t>Feeder operates without degradation.</t>
  </si>
  <si>
    <t>MF-PER-030</t>
  </si>
  <si>
    <t>Verify Overall System Performance</t>
  </si>
  <si>
    <t>Verify complete system performance</t>
  </si>
  <si>
    <t>1. Execute full daily schedule.2. Monitor movement, feeding, communication, and power.3. Measure all KPIs.4. Compare with specification.5. Record.</t>
  </si>
  <si>
    <t>Entire system meets defined performance requirements.</t>
  </si>
  <si>
    <t>MF-SAF-001</t>
  </si>
  <si>
    <t>Verify Emergency Stop Button</t>
  </si>
  <si>
    <t>Verify Emergency Stop immediately stops the feeder</t>
  </si>
  <si>
    <t>1. Power ON feeder.2. Start movement.3. Press Emergency Stop.4. Observe motors.5. Record response.</t>
  </si>
  <si>
    <t>MF-SAF-002</t>
  </si>
  <si>
    <t>Verify Emergency Stop Recovery</t>
  </si>
  <si>
    <t>Verify recovery after Emergency Stop reset</t>
  </si>
  <si>
    <t>E-Stop activated</t>
  </si>
  <si>
    <t>1. Reset E-Stop.2. Power ON.3. Restart feeder.4. Verify operation.5. Record.</t>
  </si>
  <si>
    <t>Feeder resumes normal operation.</t>
  </si>
  <si>
    <t>MF-SAF-003</t>
  </si>
  <si>
    <t>Verify Bin Empty Return to Bank</t>
  </si>
  <si>
    <t>Verify feeder returns to bank when Bin Empty is detected</t>
  </si>
  <si>
    <t>1. Configure schedule.2. Start feeder.3. Trigger Bin Empty.4. Observe movement.5. Record.</t>
  </si>
  <si>
    <t>Feeder stops dispensing and returns safely to bank.</t>
  </si>
  <si>
    <t>MF-SAF-004</t>
  </si>
  <si>
    <t>Verify Starter Detection Failure</t>
  </si>
  <si>
    <t>Verify firmware behavior if starter is not detected</t>
  </si>
  <si>
    <t>Starter sensor disabled</t>
  </si>
  <si>
    <t>1. Disable starter sensor.2. Execute schedule.3. Observe movement.4. Check logs.5. Record.</t>
  </si>
  <si>
    <t>Feeder follows programmed fallback logic without unsafe operation.</t>
  </si>
  <si>
    <t>MF-SAF-005</t>
  </si>
  <si>
    <t>Verify Stopper Detection Failure</t>
  </si>
  <si>
    <t>Verify safe handling if stopper is missed</t>
  </si>
  <si>
    <t>Stopper disabled</t>
  </si>
  <si>
    <t>1. Disable stopper.2. Execute movement.3. Observe feeder.4. Verify alarm.5. Record.</t>
  </si>
  <si>
    <t>Controller detects fault and stops or alarms as designed.</t>
  </si>
  <si>
    <t>MF-SAF-006</t>
  </si>
  <si>
    <t>Verify Motor Overcurrent Protection</t>
  </si>
  <si>
    <t>Verify protection during high current</t>
  </si>
  <si>
    <t>Current monitoring enabled</t>
  </si>
  <si>
    <t>1. Create overload.2. Run feeder.3. Observe current.4. Check shutdown.5. Record.</t>
  </si>
  <si>
    <t>Motor stops before damage occurs.</t>
  </si>
  <si>
    <t>MF-SAF-007</t>
  </si>
  <si>
    <t>Verify Motor Overtemperature Protection</t>
  </si>
  <si>
    <t>Verify protection against overheating</t>
  </si>
  <si>
    <t>Motor operating</t>
  </si>
  <si>
    <t>1. Run continuously.2. Increase load.3. Monitor temperature.4. Observe controller.5. Record.</t>
  </si>
  <si>
    <t>System protects motor when limit is reached.</t>
  </si>
  <si>
    <t>MF-SAF-008</t>
  </si>
  <si>
    <t>Verify Battery Low Protection</t>
  </si>
  <si>
    <t>Verify low battery protection</t>
  </si>
  <si>
    <t>Low battery</t>
  </si>
  <si>
    <t>1. Discharge battery.2. Start feeder.3. Observe warning.4. Monitor behavior.5. Record.</t>
  </si>
  <si>
    <t>Low battery warning generated and safe operation maintained.</t>
  </si>
  <si>
    <t>MF-SAF-009</t>
  </si>
  <si>
    <t>Verify Battery Reverse Polarity Protection</t>
  </si>
  <si>
    <t>1. Connect battery in reverse (test setup).2. Observe controller.3. Disconnect.4. Inspect hardware.5. Record.</t>
  </si>
  <si>
    <t>No hardware damage; protection operates correctly.</t>
  </si>
  <si>
    <t>MF-SAF-010</t>
  </si>
  <si>
    <t>Verify Fuse Protection</t>
  </si>
  <si>
    <t>Verify fuse operation during fault</t>
  </si>
  <si>
    <t>Fuse installed</t>
  </si>
  <si>
    <t>1. Simulate overload.2. Observe fuse.3. Remove fault.4. Replace fuse if required.5. Record.</t>
  </si>
  <si>
    <t>Fuse protects the circuit as designed.</t>
  </si>
  <si>
    <t>MF-SAF-011</t>
  </si>
  <si>
    <t>Verify Short Circuit Protection</t>
  </si>
  <si>
    <t>Verify protection against short circuit</t>
  </si>
  <si>
    <t>1. Simulate short circuit.2. Observe controller.3. Verify protection.4. Remove fault.5. Record.</t>
  </si>
  <si>
    <t>System isolates fault without permanent damage.</t>
  </si>
  <si>
    <t>MF-SAF-012</t>
  </si>
  <si>
    <t>Verify Communication Loss Safety</t>
  </si>
  <si>
    <t>Verify feeder behavior during communication loss</t>
  </si>
  <si>
    <t>1. Disconnect network.2. Continue operation.3. Observe feeder.4. Restore network.5. Record.</t>
  </si>
  <si>
    <t>Feeder continues safely using local schedule.</t>
  </si>
  <si>
    <t>MF-SAF-013</t>
  </si>
  <si>
    <t>Verify Power Failure Recovery</t>
  </si>
  <si>
    <t>Verify safe behavior during power loss</t>
  </si>
  <si>
    <t>1. Disconnect power.2. Wait.3. Restore power.4. Observe startup.5. Record.</t>
  </si>
  <si>
    <t>Safe recovery according to firmware logic.</t>
  </si>
  <si>
    <t>MF-SAF-014</t>
  </si>
  <si>
    <t>Verify Obstacle Detection</t>
  </si>
  <si>
    <t>Verify response to obstacle in travel path</t>
  </si>
  <si>
    <t>Obstacle available</t>
  </si>
  <si>
    <t>1. Place obstacle.2. Start feeder.3. Observe movement.4. Remove obstacle.5. Record.</t>
  </si>
  <si>
    <t>Feeder stops or alarms according to design.</t>
  </si>
  <si>
    <t>MF-SAF-015</t>
  </si>
  <si>
    <t>Verify Rail Obstruction</t>
  </si>
  <si>
    <t>Verify response to blocked rail</t>
  </si>
  <si>
    <t>Rail blocked</t>
  </si>
  <si>
    <t>1. Block rail.2. Start movement.3. Observe motor current.4. Check controller.5. Record.</t>
  </si>
  <si>
    <t>System detects abnormal load and stops safely.</t>
  </si>
  <si>
    <t>MF-SAF-016</t>
  </si>
  <si>
    <t>Verify Hopper Cover Safety</t>
  </si>
  <si>
    <t>Verify hopper cover remains secure</t>
  </si>
  <si>
    <t>Hopper closed</t>
  </si>
  <si>
    <t>1. Inspect cover.2. Start feeder.3. Observe vibration.4. Check locking.5. Record.</t>
  </si>
  <si>
    <t>Hopper cover remains secure.</t>
  </si>
  <si>
    <t>MF-SAF-017</t>
  </si>
  <si>
    <t>Verify Dust Guard Safety</t>
  </si>
  <si>
    <t>Verify dust guard prevents moving part exposure</t>
  </si>
  <si>
    <t>1. Inspect dust guard.2. Run feeder.3. Observe movement.4. Check interference.5. Record.</t>
  </si>
  <si>
    <t>Dust guard provides proper protection.</t>
  </si>
  <si>
    <t>MF-SAF-018</t>
  </si>
  <si>
    <t>Verify Motor Cover Safety</t>
  </si>
  <si>
    <t>Verify motor cover protects rotating parts</t>
  </si>
  <si>
    <t>Motor cover installed</t>
  </si>
  <si>
    <t>1. Inspect cover.2. Run motor.3. Observe clearance.4. Inspect after test.5. Record.</t>
  </si>
  <si>
    <t>Motor cover remains secure.</t>
  </si>
  <si>
    <t>MF-SAF-019</t>
  </si>
  <si>
    <t>Verify Wiring Protection</t>
  </si>
  <si>
    <t>Verify cables are protected</t>
  </si>
  <si>
    <t>Wiring complete</t>
  </si>
  <si>
    <t>1. Inspect wiring.2. Run feeder.3. Observe cable movement.4. Inspect routing.5. Record.</t>
  </si>
  <si>
    <t>No cable damage or exposure.</t>
  </si>
  <si>
    <t>MF-SAF-020</t>
  </si>
  <si>
    <t>Verify Alarm Indication</t>
  </si>
  <si>
    <t>Verify visual/audible alarms</t>
  </si>
  <si>
    <t>Alarm configured</t>
  </si>
  <si>
    <t>1. Trigger fault.2. Observe alarm.3. Verify indication.4. Reset fault.5. Record.</t>
  </si>
  <si>
    <t>Alarm is clearly indicated.</t>
  </si>
  <si>
    <t>MF-SAF-021</t>
  </si>
  <si>
    <t>Verify Safe Startup</t>
  </si>
  <si>
    <t>Verify feeder does not start unexpectedly</t>
  </si>
  <si>
    <t>1. Power ON.2. Observe feeder.3. Wait.4. Check movement.5. Record.</t>
  </si>
  <si>
    <t>No unintended movement occurs.</t>
  </si>
  <si>
    <t>MF-SAF-022</t>
  </si>
  <si>
    <t>Verify Safe Shutdown</t>
  </si>
  <si>
    <t>Verify controlled shutdown</t>
  </si>
  <si>
    <t>1. Stop schedule.2. Observe feeder.3. Verify motors stop.4. Power OFF.5. Record.</t>
  </si>
  <si>
    <t>System shuts down safely.</t>
  </si>
  <si>
    <t>MF-SAF-023</t>
  </si>
  <si>
    <t>Verify Sensor Fault Alarm</t>
  </si>
  <si>
    <t>Verify alarm for sensor failure</t>
  </si>
  <si>
    <t>Sensor disconnected</t>
  </si>
  <si>
    <t>1. Disconnect sensor.2. Start feeder.3. Observe controller.4. Check alarm.5. Record.</t>
  </si>
  <si>
    <t>Sensor fault alarm generated.</t>
  </si>
  <si>
    <t>MF-SAF-024</t>
  </si>
  <si>
    <t>Verify RTC Failure Handling</t>
  </si>
  <si>
    <t>Verify operation if RTC is invalid</t>
  </si>
  <si>
    <t>RTC modified</t>
  </si>
  <si>
    <t>1. Set invalid RTC.2. Restart controller.3. Observe schedule.4. Check logs.5. Record.</t>
  </si>
  <si>
    <t>Firmware handles RTC fault safely.</t>
  </si>
  <si>
    <t>MF-SAF-025</t>
  </si>
  <si>
    <t>Verify Invalid Configuration</t>
  </si>
  <si>
    <t>Verify rejection of unsafe settings</t>
  </si>
  <si>
    <t>1. Enter invalid values.2. Save.3. Observe message.4. Retry.5. Record.</t>
  </si>
  <si>
    <t>Unsafe configuration is rejected.</t>
  </si>
  <si>
    <t>MF-SAF-026</t>
  </si>
  <si>
    <t>Verify Manual Override</t>
  </si>
  <si>
    <t>Verify manual control overrides safely</t>
  </si>
  <si>
    <t>Auto mode active</t>
  </si>
  <si>
    <t>1. Enable Auto Mode.2. Activate Manual Mode.3. Observe feeder.4. Complete action.5. Record.</t>
  </si>
  <si>
    <t>Safe transition to Manual Mode.</t>
  </si>
  <si>
    <t>MF-SAF-027</t>
  </si>
  <si>
    <t>Verify Safe Return After Fault</t>
  </si>
  <si>
    <t>Verify feeder returns safely after fault</t>
  </si>
  <si>
    <t>Fault generated</t>
  </si>
  <si>
    <t>1. Trigger fault.2. Observe feeder.3. Clear fault.4. Resume operation.5. Record.</t>
  </si>
  <si>
    <t>Feeder returns safely to bank or safe state.</t>
  </si>
  <si>
    <t>MF-SAF-028</t>
  </si>
  <si>
    <t>Verify Safe Restart After Firmware Reset</t>
  </si>
  <si>
    <t>Verify no unsafe motion after reset</t>
  </si>
  <si>
    <t>Firmware reset</t>
  </si>
  <si>
    <t>1. Reset controller.2. Wait for boot.3. Observe feeder.4. Start schedule.5. Record.</t>
  </si>
  <si>
    <t>No unexpected movement after reboot.</t>
  </si>
  <si>
    <t>MF-SAF-029</t>
  </si>
  <si>
    <t>Verify Operator Safety During Maintenance</t>
  </si>
  <si>
    <t>Verify feeder remains disabled during maintenance</t>
  </si>
  <si>
    <t>Maintenance mode enabled</t>
  </si>
  <si>
    <t>1. Enable maintenance mode.2. Attempt movement.3. Observe controller.4. Disable maintenance.5. Record.</t>
  </si>
  <si>
    <t>Feeder cannot move during maintenance mode.</t>
  </si>
  <si>
    <t>MF-SAF-030</t>
  </si>
  <si>
    <t>Verify Complete Safety Functionality</t>
  </si>
  <si>
    <t>Verify all safety mechanisms operate together</t>
  </si>
  <si>
    <t>1. Execute normal schedule.2. Trigger multiple safety events.3. Observe system response.4. Verify recovery.5. Record.</t>
  </si>
  <si>
    <t>All safety features function correctly without causing unsafe conditions.</t>
  </si>
  <si>
    <t>MF-ENV-001</t>
  </si>
  <si>
    <t>Environmental</t>
  </si>
  <si>
    <t>Low Temperature Operation</t>
  </si>
  <si>
    <t>1. Place feeder in low-temperature chamber.2. Stabilize temperature.3. Power ON feeder.4. Execute schedule.5. Record operation.</t>
  </si>
  <si>
    <t>Feeder operates normally at minimum specified temperature.</t>
  </si>
  <si>
    <t>MF-ENV-002</t>
  </si>
  <si>
    <t>High Temperature Operation</t>
  </si>
  <si>
    <t>1. Place feeder in chamber.2. Set maximum temperature.3. Run feeder.4. Monitor performance.5. Record.</t>
  </si>
  <si>
    <t>Feeder operates without overheating.</t>
  </si>
  <si>
    <t>MF-ENV-003</t>
  </si>
  <si>
    <t>High Humidity Test</t>
  </si>
  <si>
    <t>Verify operation in humid environment</t>
  </si>
  <si>
    <t>1. Set humidity level.2. Stabilize chamber.3. Run feeder.4. Observe operation.5. Record.</t>
  </si>
  <si>
    <t>Feeder operates normally under high humidity.</t>
  </si>
  <si>
    <t>MF-ENV-004</t>
  </si>
  <si>
    <t>Rain Simulation</t>
  </si>
  <si>
    <t>Verify operation during rainfall</t>
  </si>
  <si>
    <t>Outdoor test setup</t>
  </si>
  <si>
    <t>1. Simulate rainfall.2. Start feeder.3. Complete schedule.4. Inspect components.5. Record.</t>
  </si>
  <si>
    <t>No malfunction due to rain exposure.</t>
  </si>
  <si>
    <t>MF-ENV-005</t>
  </si>
  <si>
    <t>Water Splash Test</t>
  </si>
  <si>
    <t>Verify resistance to water splashes</t>
  </si>
  <si>
    <t>1. Splash water on enclosure.2. Operate feeder.3. Observe system.4. Inspect enclosure.5. Record.</t>
  </si>
  <si>
    <t>No water ingress or malfunction.</t>
  </si>
  <si>
    <t>MF-ENV-006</t>
  </si>
  <si>
    <t>Dust Resistance</t>
  </si>
  <si>
    <t>Verify operation in dusty environment</t>
  </si>
  <si>
    <t>1. Expose feeder to dust.2. Run feeder.3. Observe movement.4. Inspect enclosure.5. Record.</t>
  </si>
  <si>
    <t>Dust does not affect normal operation.</t>
  </si>
  <si>
    <t>MF-ENV-007</t>
  </si>
  <si>
    <t>Sand Exposure</t>
  </si>
  <si>
    <t>Verify performance in sandy conditions</t>
  </si>
  <si>
    <t>1. Expose feeder to sand.2. Operate feeder.3. Observe movement.4. Inspect wear.5. Record.</t>
  </si>
  <si>
    <t>Feeder continues to operate normally.</t>
  </si>
  <si>
    <t>MF-ENV-008</t>
  </si>
  <si>
    <t>Wind Resistance</t>
  </si>
  <si>
    <t>Verify feeder stability under wind</t>
  </si>
  <si>
    <t>1. Simulate wind.2. Operate feeder.3. Observe stability.4. Inspect structure.5. Record.</t>
  </si>
  <si>
    <t>Stable operation under specified wind conditions.</t>
  </si>
  <si>
    <t>MF-ENV-009</t>
  </si>
  <si>
    <t>UV Exposure</t>
  </si>
  <si>
    <t>Verify enclosure resistance to UV</t>
  </si>
  <si>
    <t>Sample exposed</t>
  </si>
  <si>
    <t>1. Expose to UV source.2. Inspect enclosure.3. Operate feeder.4. Check discoloration.5. Record.</t>
  </si>
  <si>
    <t>No significant degradation due to UV.</t>
  </si>
  <si>
    <t>MF-ENV-010</t>
  </si>
  <si>
    <t>Salt Spray Test</t>
  </si>
  <si>
    <t>Verify corrosion resistance</t>
  </si>
  <si>
    <t>Metal components installed</t>
  </si>
  <si>
    <t>1. Place in salt spray chamber.2. Expose for specified duration.3. Inspect components.4. Operate feeder.5. Record.</t>
  </si>
  <si>
    <t>No excessive corrosion or performance degradation.</t>
  </si>
  <si>
    <t>MF-ENV-011</t>
  </si>
  <si>
    <t>Vibration Test</t>
  </si>
  <si>
    <t>Verify operation under vibration</t>
  </si>
  <si>
    <t>Feeder mounted</t>
  </si>
  <si>
    <t>1. Mount on vibration table.2. Apply vibration.3. Operate feeder.4. Inspect hardware.5. Record.</t>
  </si>
  <si>
    <t>No loose components or malfunction.</t>
  </si>
  <si>
    <t>MF-ENV-012</t>
  </si>
  <si>
    <t>Mechanical Shock Test</t>
  </si>
  <si>
    <t>Verify resistance to shock</t>
  </si>
  <si>
    <t>1. Apply mechanical shock.2. Inspect feeder.3. Power ON.4. Execute schedule.5. Record.</t>
  </si>
  <si>
    <t>Feeder remains functional after shock.</t>
  </si>
  <si>
    <t>MF-ENV-013</t>
  </si>
  <si>
    <t>Outdoor Day Operation</t>
  </si>
  <si>
    <t>Verify daytime outdoor performance</t>
  </si>
  <si>
    <t>1. Install feeder.2. Execute schedules.3. Observe operation.4. Monitor performance.5. Record.</t>
  </si>
  <si>
    <t>Feeder performs normally outdoors.</t>
  </si>
  <si>
    <t>MF-ENV-014</t>
  </si>
  <si>
    <t>Outdoor Night Operation</t>
  </si>
  <si>
    <t>Verify nighttime operation</t>
  </si>
  <si>
    <t>1. Execute night schedule.2. Observe movement.3. Verify sensors.4. Record results.5. Complete report.</t>
  </si>
  <si>
    <t>Night operation is successful.</t>
  </si>
  <si>
    <t>MF-ENV-015</t>
  </si>
  <si>
    <t>Dew Formation Test</t>
  </si>
  <si>
    <t>Verify operation after dew formation</t>
  </si>
  <si>
    <t>Outdoor setup</t>
  </si>
  <si>
    <t>1. Allow dew formation.2. Start feeder.3. Observe operation.4. Inspect electronics.5. Record.</t>
  </si>
  <si>
    <t>Dew does not affect operation.</t>
  </si>
  <si>
    <t>MF-ENV-016</t>
  </si>
  <si>
    <t>Condensation Test</t>
  </si>
  <si>
    <t>Verify operation after condensation</t>
  </si>
  <si>
    <t>Chamber setup</t>
  </si>
  <si>
    <t>1. Create condensation.2. Power ON.3. Run feeder.4. Observe behavior.5. Record.</t>
  </si>
  <si>
    <t>No malfunction due to condensation.</t>
  </si>
  <si>
    <t>MF-ENV-017</t>
  </si>
  <si>
    <t>Thermal Cycling</t>
  </si>
  <si>
    <t>Verify repeated temperature changes</t>
  </si>
  <si>
    <t>Chamber available</t>
  </si>
  <si>
    <t>1. Cycle between low/high temperatures.2. Repeat cycles.3. Run feeder.4. Inspect system.5. Record.</t>
  </si>
  <si>
    <t>System withstands thermal cycling.</t>
  </si>
  <si>
    <t>MF-ENV-018</t>
  </si>
  <si>
    <t>Long Outdoor Exposure</t>
  </si>
  <si>
    <t>Verify long-term outdoor durability</t>
  </si>
  <si>
    <t>1. Install feeder.2. Operate for defined period.3. Inspect weekly.4. Compare condition.5. Record.</t>
  </si>
  <si>
    <t>No significant deterioration.</t>
  </si>
  <si>
    <t>MF-ENV-019</t>
  </si>
  <si>
    <t>Corrosion Inspection</t>
  </si>
  <si>
    <t>Outdoor exposure completed</t>
  </si>
  <si>
    <t>1. Inspect frame.2. Inspect fasteners.3. Inspect rails.4. Compare baseline.5. Record.</t>
  </si>
  <si>
    <t>Corrosion within acceptable limits.</t>
  </si>
  <si>
    <t>MF-ENV-020</t>
  </si>
  <si>
    <t>Cable Weather Resistance</t>
  </si>
  <si>
    <t>Verify cable durability</t>
  </si>
  <si>
    <t>1. Inspect cables.2. Run feeder.3. Observe insulation.4. Check routing.5. Record.</t>
  </si>
  <si>
    <t>Cables remain intact and functional.</t>
  </si>
  <si>
    <t>MF-ENV-021</t>
  </si>
  <si>
    <t>Connector Water Resistance</t>
  </si>
  <si>
    <t>Verify connector sealing</t>
  </si>
  <si>
    <t>Connectors assembled</t>
  </si>
  <si>
    <t>1. Spray water.2. Inspect connectors.3. Operate feeder.4. Verify communication.5. Record.</t>
  </si>
  <si>
    <t>Connectors remain sealed.</t>
  </si>
  <si>
    <t>MF-ENV-022</t>
  </si>
  <si>
    <t>Battery Outdoor Operation</t>
  </si>
  <si>
    <t>Verify battery performance outdoors</t>
  </si>
  <si>
    <t>1. Install battery.2. Operate feeder.3. Monitor voltage.4. Compare readings.5. Record.</t>
  </si>
  <si>
    <t>Battery performs within specification.</t>
  </si>
  <si>
    <t>MF-ENV-023</t>
  </si>
  <si>
    <t>Solar Charging Performance</t>
  </si>
  <si>
    <t>Verify solar charging efficiency</t>
  </si>
  <si>
    <t>Solar panel connected</t>
  </si>
  <si>
    <t>1. Connect solar panel.2. Expose to sunlight.3. Measure charging current.4. Observe charging.5. Record.</t>
  </si>
  <si>
    <t>Battery charges effectively from solar power.</t>
  </si>
  <si>
    <t>MF-ENV-024</t>
  </si>
  <si>
    <t>Heavy Rain Endurance</t>
  </si>
  <si>
    <t>Verify extended rain operation</t>
  </si>
  <si>
    <t>Rain simulation setup</t>
  </si>
  <si>
    <t>1. Simulate heavy rain.2. Operate feeder.3. Observe movement.4. Inspect enclosure.5. Record.</t>
  </si>
  <si>
    <t>Continuous operation without water ingress.</t>
  </si>
  <si>
    <t>MF-ENV-025</t>
  </si>
  <si>
    <t>Mud Exposure</t>
  </si>
  <si>
    <t>Verify operation with muddy rails</t>
  </si>
  <si>
    <t>Test track prepared</t>
  </si>
  <si>
    <t>1. Apply mud to rail.2. Run feeder.3. Observe movement.4. Inspect wheels.5. Record.</t>
  </si>
  <si>
    <t>Feeder maintains stable movement.</t>
  </si>
  <si>
    <t>MF-ENV-026</t>
  </si>
  <si>
    <t>Insect Exposure</t>
  </si>
  <si>
    <t>Verify operation after insect contamination</t>
  </si>
  <si>
    <t>1. Inspect enclosure.2. Operate feeder.3. Check ventilation.4. Inspect electronics.5. Record.</t>
  </si>
  <si>
    <t>No malfunction due to insects.</t>
  </si>
  <si>
    <t>MF-ENV-027</t>
  </si>
  <si>
    <t>Bird Dropping Exposure</t>
  </si>
  <si>
    <t>Verify enclosure durability</t>
  </si>
  <si>
    <t>1. Simulate contamination.2. Clean enclosure.3. Operate feeder.4. Inspect finish.5. Record.</t>
  </si>
  <si>
    <t>Enclosure remains functional and undamaged.</t>
  </si>
  <si>
    <t>MF-ENV-028</t>
  </si>
  <si>
    <t>IP Rating Verification</t>
  </si>
  <si>
    <t>Verify enclosure protection level</t>
  </si>
  <si>
    <t>1. Perform IP test.2. Inspect enclosure.3. Operate feeder.4. Verify functionality.5. Record.</t>
  </si>
  <si>
    <t>Enclosure meets specified IP rating (e.g., IP65).</t>
  </si>
  <si>
    <t>MF-ENV-029</t>
  </si>
  <si>
    <t>Seasonal Operation</t>
  </si>
  <si>
    <t>Verify operation across seasonal conditions</t>
  </si>
  <si>
    <t>1. Operate during different seasons.2. Monitor performance.3. Compare results.4. Inspect system.5. Record.</t>
  </si>
  <si>
    <t>Reliable operation across seasonal variations.</t>
  </si>
  <si>
    <t>MF-ENV-030</t>
  </si>
  <si>
    <t>Complete Environmental Validation</t>
  </si>
  <si>
    <t>Verify full environmental performance</t>
  </si>
  <si>
    <t>1. Execute all environmental tests.2. Operate feeder after each test.3. Verify movement, feeding, sensors, and communication.4. Inspect components.5. Document final results.</t>
  </si>
  <si>
    <t>Feeder successfully meets all environmental requirements without functional degradation.</t>
  </si>
  <si>
    <t>Thermal testings</t>
  </si>
  <si>
    <t>on component</t>
  </si>
  <si>
    <t>on board</t>
  </si>
  <si>
    <t>on box</t>
  </si>
  <si>
    <t>User Acceptance Test cases (UAT)</t>
  </si>
  <si>
    <t>Basic functionalites</t>
  </si>
  <si>
    <t>critical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</si>
</sst>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8"/>
      <color theme="1"/>
      <name val="Aptos Narrow"/>
      <family val="2"/>
      <scheme val="minor"/>
    </font>
    <font>
      <sz val="11"/>
      <color rgb="FFFF0000"/>
      <name val="Aptos Narrow"/>
      <family val="2"/>
      <scheme val="minor"/>
    </font>
    <font>
      <sz val="11"/>
      <name val="Aptos Narrow"/>
      <family val="2"/>
      <scheme val="minor"/>
    </font>
    <font>
      <sz val="11"/>
      <color rgb="FF000000"/>
      <name val="Aptos Narrow"/>
      <family val="2"/>
      <scheme val="minor"/>
    </font>
    <font>
      <sz val="11"/>
      <color rgb="FF000000"/>
      <name val="Calibri"/>
      <family val="2"/>
    </font>
    <font>
      <sz val="11"/>
      <color rgb="FF000000"/>
      <name val="Calibri"/>
    </font>
    <font>
      <b/>
      <sz val="11"/>
      <color rgb="FF000000"/>
      <name val="Calibri"/>
    </font>
    <font>
      <b/>
      <sz val="11"/>
      <color rgb="FFFFFFFF"/>
      <name val="Calibri"/>
      <family val="2"/>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00B0F0"/>
        <bgColor rgb="FF000000"/>
      </patternFill>
    </fill>
    <fill>
      <patternFill patternType="solid">
        <fgColor rgb="FFFFC000"/>
        <bgColor rgb="FFFFC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 fillId="2" borderId="1" xfId="0" applyFont="1" applyFill="1" applyBorder="1"/>
    <xf numFmtId="0" fontId="1" fillId="0" borderId="1" xfId="0" applyFont="1" applyBorder="1" applyAlignment="1">
      <alignment vertical="center" wrapText="1"/>
    </xf>
    <xf numFmtId="0" fontId="0" fillId="0" borderId="1" xfId="0" applyBorder="1"/>
    <xf numFmtId="0" fontId="0" fillId="0" borderId="0" xfId="0" applyAlignment="1">
      <alignment vertical="center" wrapText="1"/>
    </xf>
    <xf numFmtId="0" fontId="0" fillId="0" borderId="0" xfId="0" applyAlignment="1">
      <alignment wrapText="1"/>
    </xf>
    <xf numFmtId="0" fontId="0" fillId="0" borderId="1" xfId="0" applyBorder="1" applyAlignment="1">
      <alignment wrapText="1"/>
    </xf>
    <xf numFmtId="0" fontId="1" fillId="0" borderId="2" xfId="0" applyFont="1" applyBorder="1"/>
    <xf numFmtId="0" fontId="0" fillId="0" borderId="2" xfId="0" applyBorder="1"/>
    <xf numFmtId="0" fontId="1" fillId="0" borderId="2" xfId="0" applyFont="1" applyBorder="1" applyAlignment="1">
      <alignment wrapText="1"/>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vertical="center" wrapText="1"/>
    </xf>
    <xf numFmtId="0" fontId="0" fillId="0" borderId="4" xfId="0" applyBorder="1"/>
    <xf numFmtId="0" fontId="0" fillId="0" borderId="2"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center" vertical="center"/>
    </xf>
    <xf numFmtId="0" fontId="0" fillId="0" borderId="2"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5" xfId="0" applyBorder="1" applyAlignment="1">
      <alignment horizontal="center" vertic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left" vertical="center"/>
    </xf>
    <xf numFmtId="0" fontId="0" fillId="0" borderId="0" xfId="0" applyAlignment="1">
      <alignment horizont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9" xfId="0" applyBorder="1" applyAlignment="1">
      <alignment horizontal="left" vertical="center"/>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2" borderId="3" xfId="0" applyFont="1" applyFill="1" applyBorder="1" applyAlignment="1">
      <alignment horizontal="center" vertical="center"/>
    </xf>
    <xf numFmtId="0" fontId="3" fillId="0" borderId="3" xfId="0" applyFont="1"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1" fillId="2" borderId="7" xfId="0" applyFont="1" applyFill="1" applyBorder="1" applyAlignment="1">
      <alignment horizontal="center" vertical="center" wrapText="1"/>
    </xf>
    <xf numFmtId="0" fontId="0" fillId="0" borderId="7" xfId="0" applyBorder="1" applyAlignment="1">
      <alignment horizontal="left" vertical="center" wrapText="1"/>
    </xf>
    <xf numFmtId="0" fontId="3" fillId="0" borderId="7" xfId="0" applyFont="1"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1" fillId="2" borderId="2" xfId="0" applyFont="1" applyFill="1" applyBorder="1" applyAlignment="1">
      <alignment horizontal="center" vertical="center"/>
    </xf>
    <xf numFmtId="0" fontId="0" fillId="0" borderId="12" xfId="0" applyBorder="1" applyAlignment="1">
      <alignment vertical="center" wrapText="1"/>
    </xf>
    <xf numFmtId="0" fontId="0" fillId="0" borderId="13" xfId="0" applyBorder="1" applyAlignment="1">
      <alignment horizontal="left" vertical="center" wrapText="1"/>
    </xf>
    <xf numFmtId="0" fontId="0" fillId="0" borderId="14" xfId="0" applyBorder="1" applyAlignment="1">
      <alignment vertical="center" wrapText="1"/>
    </xf>
    <xf numFmtId="0" fontId="0" fillId="0" borderId="9" xfId="0" applyBorder="1"/>
    <xf numFmtId="0" fontId="0" fillId="0" borderId="2" xfId="0"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6" xfId="0" applyBorder="1" applyAlignment="1">
      <alignment horizontal="left" vertical="center" wrapText="1"/>
    </xf>
    <xf numFmtId="0" fontId="1" fillId="0" borderId="4" xfId="0" applyFont="1"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3" xfId="0" applyBorder="1" applyAlignment="1">
      <alignment wrapText="1"/>
    </xf>
    <xf numFmtId="0" fontId="0" fillId="0" borderId="15" xfId="0" applyBorder="1" applyAlignment="1">
      <alignment wrapText="1"/>
    </xf>
    <xf numFmtId="0" fontId="0" fillId="0" borderId="11" xfId="0" applyBorder="1" applyAlignment="1">
      <alignment horizontal="left" vertical="center" wrapText="1"/>
    </xf>
    <xf numFmtId="0" fontId="0" fillId="3" borderId="2" xfId="0" applyFill="1" applyBorder="1" applyAlignment="1">
      <alignment horizontal="left" vertical="center"/>
    </xf>
    <xf numFmtId="0" fontId="6" fillId="4" borderId="1" xfId="0" applyFont="1" applyFill="1" applyBorder="1" applyAlignment="1">
      <alignment wrapText="1"/>
    </xf>
    <xf numFmtId="0" fontId="6" fillId="0" borderId="7" xfId="0" applyFont="1" applyBorder="1" applyAlignment="1">
      <alignment wrapText="1"/>
    </xf>
    <xf numFmtId="0" fontId="6" fillId="4" borderId="14" xfId="0" applyFont="1" applyFill="1" applyBorder="1" applyAlignment="1">
      <alignment wrapText="1"/>
    </xf>
    <xf numFmtId="0" fontId="6" fillId="0" borderId="16" xfId="0" applyFont="1" applyBorder="1" applyAlignment="1">
      <alignment wrapText="1"/>
    </xf>
    <xf numFmtId="0" fontId="6" fillId="4" borderId="17" xfId="0" applyFont="1" applyFill="1" applyBorder="1" applyAlignment="1">
      <alignment wrapText="1"/>
    </xf>
    <xf numFmtId="0" fontId="6" fillId="0" borderId="18" xfId="0" applyFont="1" applyBorder="1" applyAlignment="1">
      <alignment wrapText="1"/>
    </xf>
    <xf numFmtId="0" fontId="6" fillId="4" borderId="3" xfId="0" applyFont="1" applyFill="1" applyBorder="1" applyAlignment="1">
      <alignment wrapText="1"/>
    </xf>
    <xf numFmtId="0" fontId="6" fillId="0" borderId="2" xfId="0" applyFont="1" applyBorder="1" applyAlignment="1">
      <alignment wrapText="1"/>
    </xf>
    <xf numFmtId="0" fontId="6" fillId="4" borderId="19" xfId="0" applyFont="1" applyFill="1" applyBorder="1" applyAlignment="1">
      <alignment wrapText="1"/>
    </xf>
    <xf numFmtId="0" fontId="6" fillId="0" borderId="13" xfId="0" applyFont="1" applyBorder="1" applyAlignment="1">
      <alignment wrapText="1"/>
    </xf>
    <xf numFmtId="0" fontId="6" fillId="4" borderId="4" xfId="0" applyFont="1" applyFill="1" applyBorder="1" applyAlignment="1">
      <alignment wrapText="1"/>
    </xf>
    <xf numFmtId="0" fontId="7" fillId="0" borderId="1" xfId="0" applyFont="1" applyBorder="1"/>
    <xf numFmtId="0" fontId="9" fillId="5" borderId="20" xfId="0" applyFont="1" applyFill="1" applyBorder="1"/>
    <xf numFmtId="0" fontId="9" fillId="5" borderId="21" xfId="0" applyFont="1" applyFill="1" applyBorder="1"/>
    <xf numFmtId="0" fontId="9" fillId="5" borderId="22" xfId="0" applyFont="1" applyFill="1" applyBorder="1"/>
    <xf numFmtId="0" fontId="0" fillId="0" borderId="3" xfId="0" applyBorder="1" applyAlignment="1">
      <alignment vertical="center" wrapText="1"/>
    </xf>
    <xf numFmtId="0" fontId="1" fillId="2" borderId="4" xfId="0" applyFont="1" applyFill="1"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horizontal="center" vertical="center"/>
    </xf>
    <xf numFmtId="0" fontId="1" fillId="0" borderId="2" xfId="0" applyFont="1" applyBorder="1" applyAlignment="1">
      <alignment horizontal="lef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11" xfId="0" applyBorder="1" applyAlignment="1">
      <alignment vertical="center" wrapText="1"/>
    </xf>
    <xf numFmtId="0" fontId="0" fillId="0" borderId="25" xfId="0" applyBorder="1" applyAlignment="1">
      <alignment vertical="center" wrapText="1"/>
    </xf>
    <xf numFmtId="0" fontId="0" fillId="0" borderId="24" xfId="0" applyBorder="1" applyAlignment="1">
      <alignment horizontal="left" vertical="center" wrapText="1"/>
    </xf>
    <xf numFmtId="0" fontId="0" fillId="0" borderId="3" xfId="0" applyBorder="1"/>
    <xf numFmtId="0" fontId="0" fillId="0" borderId="5" xfId="0" applyBorder="1"/>
    <xf numFmtId="0" fontId="0" fillId="0" borderId="26" xfId="0" applyBorder="1" applyAlignment="1">
      <alignment wrapText="1"/>
    </xf>
    <xf numFmtId="0" fontId="0" fillId="0" borderId="2" xfId="0" applyBorder="1" applyAlignment="1">
      <alignment horizontal="left"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0F41-CECF-4A0D-A1CA-40F9BA6CD260}">
  <sheetPr>
    <tabColor rgb="FFFFC000"/>
  </sheetPr>
  <dimension ref="B1:E15"/>
  <sheetViews>
    <sheetView topLeftCell="B1" workbookViewId="0">
      <selection activeCell="E2" sqref="E2"/>
    </sheetView>
  </sheetViews>
  <sheetFormatPr defaultRowHeight="15"/>
  <cols>
    <col min="1" max="1" width="4.140625" customWidth="1"/>
    <col min="2" max="2" width="23.28515625" customWidth="1"/>
    <col min="3" max="3" width="24.7109375" customWidth="1"/>
    <col min="5" max="5" width="64" customWidth="1"/>
  </cols>
  <sheetData>
    <row r="1" spans="2:5">
      <c r="E1" t="s">
        <v>0</v>
      </c>
    </row>
    <row r="2" spans="2:5" ht="28.5" customHeight="1">
      <c r="B2" s="66" t="s">
        <v>1</v>
      </c>
      <c r="C2" s="67"/>
      <c r="E2" s="77" t="s">
        <v>2</v>
      </c>
    </row>
    <row r="3" spans="2:5">
      <c r="B3" s="66" t="s">
        <v>3</v>
      </c>
      <c r="C3" s="67"/>
    </row>
    <row r="4" spans="2:5">
      <c r="B4" s="68" t="s">
        <v>4</v>
      </c>
      <c r="C4" s="69"/>
    </row>
    <row r="5" spans="2:5">
      <c r="B5" s="68" t="s">
        <v>5</v>
      </c>
      <c r="C5" s="69"/>
    </row>
    <row r="6" spans="2:5">
      <c r="B6" s="68" t="s">
        <v>6</v>
      </c>
      <c r="C6" s="69"/>
    </row>
    <row r="7" spans="2:5">
      <c r="B7" s="68" t="s">
        <v>7</v>
      </c>
      <c r="C7" s="69"/>
    </row>
    <row r="8" spans="2:5">
      <c r="B8" s="68" t="s">
        <v>8</v>
      </c>
      <c r="C8" s="69"/>
    </row>
    <row r="9" spans="2:5">
      <c r="B9" s="68" t="s">
        <v>9</v>
      </c>
      <c r="C9" s="69"/>
    </row>
    <row r="10" spans="2:5">
      <c r="B10" s="70" t="s">
        <v>10</v>
      </c>
      <c r="C10" s="71"/>
    </row>
    <row r="11" spans="2:5">
      <c r="B11" s="72" t="s">
        <v>11</v>
      </c>
      <c r="C11" s="73"/>
    </row>
    <row r="12" spans="2:5">
      <c r="B12" s="74" t="s">
        <v>12</v>
      </c>
      <c r="C12" s="75"/>
    </row>
    <row r="13" spans="2:5">
      <c r="B13" s="74" t="s">
        <v>13</v>
      </c>
      <c r="C13" s="75"/>
    </row>
    <row r="14" spans="2:5">
      <c r="B14" s="74" t="s">
        <v>14</v>
      </c>
      <c r="C14" s="75" t="s">
        <v>15</v>
      </c>
    </row>
    <row r="15" spans="2:5">
      <c r="B15" s="76" t="s">
        <v>16</v>
      </c>
      <c r="C15" s="7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AB23-9555-4FF7-A44B-FF7898BB47ED}">
  <dimension ref="B2:C14"/>
  <sheetViews>
    <sheetView workbookViewId="0">
      <selection activeCell="B3" sqref="B3"/>
    </sheetView>
  </sheetViews>
  <sheetFormatPr defaultRowHeight="15"/>
  <cols>
    <col min="2" max="2" width="32.42578125" bestFit="1" customWidth="1"/>
    <col min="3" max="3" width="11" bestFit="1" customWidth="1"/>
  </cols>
  <sheetData>
    <row r="2" spans="2:3">
      <c r="B2" s="34" t="s">
        <v>17</v>
      </c>
      <c r="C2" s="34" t="s">
        <v>18</v>
      </c>
    </row>
    <row r="3" spans="2:3">
      <c r="B3" s="34" t="s">
        <v>19</v>
      </c>
      <c r="C3" s="34">
        <v>40</v>
      </c>
    </row>
    <row r="4" spans="2:3">
      <c r="B4" s="34" t="s">
        <v>20</v>
      </c>
      <c r="C4" s="34">
        <v>24</v>
      </c>
    </row>
    <row r="5" spans="2:3">
      <c r="B5" s="34" t="s">
        <v>21</v>
      </c>
      <c r="C5" s="34">
        <v>30</v>
      </c>
    </row>
    <row r="6" spans="2:3">
      <c r="B6" s="34" t="s">
        <v>22</v>
      </c>
      <c r="C6" s="34">
        <v>56</v>
      </c>
    </row>
    <row r="7" spans="2:3">
      <c r="B7" s="34" t="s">
        <v>23</v>
      </c>
      <c r="C7" s="34">
        <v>72</v>
      </c>
    </row>
    <row r="8" spans="2:3">
      <c r="B8" s="34" t="s">
        <v>24</v>
      </c>
      <c r="C8" s="34">
        <v>32</v>
      </c>
    </row>
    <row r="9" spans="2:3">
      <c r="B9" s="34" t="s">
        <v>25</v>
      </c>
      <c r="C9" s="34">
        <v>30</v>
      </c>
    </row>
    <row r="10" spans="2:3">
      <c r="B10" s="34" t="s">
        <v>26</v>
      </c>
      <c r="C10" s="34">
        <v>30</v>
      </c>
    </row>
    <row r="11" spans="2:3">
      <c r="B11" s="34" t="s">
        <v>27</v>
      </c>
      <c r="C11" s="34">
        <v>30</v>
      </c>
    </row>
    <row r="12" spans="2:3">
      <c r="B12" s="34" t="s">
        <v>28</v>
      </c>
      <c r="C12" s="34">
        <v>30</v>
      </c>
    </row>
    <row r="13" spans="2:3">
      <c r="B13" s="34"/>
      <c r="C13" s="34"/>
    </row>
    <row r="14" spans="2:3">
      <c r="B14" s="34" t="s">
        <v>29</v>
      </c>
      <c r="C14" s="34">
        <f>SUM(C3:C12)</f>
        <v>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E2B8-E98E-4B51-B5A8-A1484B67F979}">
  <dimension ref="A1:R1"/>
  <sheetViews>
    <sheetView workbookViewId="0"/>
  </sheetViews>
  <sheetFormatPr defaultRowHeight="15"/>
  <cols>
    <col min="1" max="1" width="5.28515625" bestFit="1" customWidth="1"/>
    <col min="2" max="2" width="9.42578125" bestFit="1" customWidth="1"/>
    <col min="3" max="3" width="11.42578125" bestFit="1" customWidth="1"/>
    <col min="4" max="4" width="18" bestFit="1" customWidth="1"/>
    <col min="5" max="5" width="56.7109375" bestFit="1" customWidth="1"/>
    <col min="6" max="6" width="16.5703125" bestFit="1" customWidth="1"/>
    <col min="7" max="7" width="17.5703125" bestFit="1" customWidth="1"/>
    <col min="8" max="8" width="14.85546875" bestFit="1" customWidth="1"/>
    <col min="9" max="9" width="14.28515625" bestFit="1" customWidth="1"/>
    <col min="10" max="10" width="18.28515625" bestFit="1" customWidth="1"/>
    <col min="11" max="11" width="40.85546875" bestFit="1" customWidth="1"/>
    <col min="12" max="12" width="61.85546875" bestFit="1" customWidth="1"/>
    <col min="13" max="13" width="12.42578125" bestFit="1" customWidth="1"/>
    <col min="14" max="14" width="14.7109375" bestFit="1" customWidth="1"/>
    <col min="15" max="15" width="13" bestFit="1" customWidth="1"/>
    <col min="16" max="16" width="8.5703125" bestFit="1" customWidth="1"/>
    <col min="17" max="17" width="10.5703125" bestFit="1" customWidth="1"/>
    <col min="18" max="18" width="8.85546875" bestFit="1" customWidth="1"/>
  </cols>
  <sheetData>
    <row r="1" spans="1:18">
      <c r="A1" s="78" t="s">
        <v>30</v>
      </c>
      <c r="B1" s="79" t="s">
        <v>31</v>
      </c>
      <c r="C1" s="79" t="s">
        <v>32</v>
      </c>
      <c r="D1" s="79" t="s">
        <v>33</v>
      </c>
      <c r="E1" s="79" t="s">
        <v>34</v>
      </c>
      <c r="F1" s="79" t="s">
        <v>35</v>
      </c>
      <c r="G1" s="79" t="s">
        <v>3</v>
      </c>
      <c r="H1" s="79" t="s">
        <v>36</v>
      </c>
      <c r="I1" s="79" t="s">
        <v>37</v>
      </c>
      <c r="J1" s="79" t="s">
        <v>38</v>
      </c>
      <c r="K1" s="79" t="s">
        <v>39</v>
      </c>
      <c r="L1" s="79" t="s">
        <v>40</v>
      </c>
      <c r="M1" s="79" t="s">
        <v>41</v>
      </c>
      <c r="N1" s="79" t="s">
        <v>42</v>
      </c>
      <c r="O1" s="79" t="s">
        <v>43</v>
      </c>
      <c r="P1" s="79" t="s">
        <v>44</v>
      </c>
      <c r="Q1" s="79" t="s">
        <v>45</v>
      </c>
      <c r="R1" s="80"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538C-7FB0-48E3-8491-4FA7BA673EB7}">
  <dimension ref="A1:S49"/>
  <sheetViews>
    <sheetView topLeftCell="A13" workbookViewId="0">
      <selection activeCell="H52" sqref="H52"/>
    </sheetView>
  </sheetViews>
  <sheetFormatPr defaultColWidth="15.42578125" defaultRowHeight="15"/>
  <cols>
    <col min="1" max="1" width="5.7109375" bestFit="1" customWidth="1"/>
    <col min="2" max="2" width="11" customWidth="1"/>
    <col min="3" max="4" width="15.85546875" customWidth="1"/>
    <col min="5" max="5" width="24" bestFit="1" customWidth="1"/>
    <col min="6" max="6" width="30.85546875" customWidth="1"/>
    <col min="7" max="7" width="23.7109375" bestFit="1" customWidth="1"/>
    <col min="8" max="8" width="50.140625" bestFit="1" customWidth="1"/>
    <col min="9" max="9" width="42.42578125" customWidth="1"/>
    <col min="10" max="10" width="14.7109375" customWidth="1"/>
    <col min="11" max="11" width="6.42578125" bestFit="1" customWidth="1"/>
    <col min="12" max="12" width="23.42578125" customWidth="1"/>
    <col min="13" max="13" width="15.140625" bestFit="1" customWidth="1"/>
    <col min="14" max="14" width="26" customWidth="1"/>
    <col min="15" max="15" width="31" customWidth="1"/>
    <col min="16" max="16" width="28.28515625" customWidth="1"/>
    <col min="17" max="17" width="25.5703125" customWidth="1"/>
    <col min="18" max="18" width="17.85546875" customWidth="1"/>
    <col min="19" max="19" width="16.5703125" customWidth="1"/>
  </cols>
  <sheetData>
    <row r="1" spans="1:19" ht="24">
      <c r="A1" s="95" t="s">
        <v>47</v>
      </c>
      <c r="B1" s="95"/>
      <c r="C1" s="95"/>
      <c r="D1" s="95"/>
      <c r="E1" s="95"/>
      <c r="F1" s="95"/>
      <c r="G1" s="95"/>
      <c r="H1" s="95"/>
      <c r="I1" s="95"/>
      <c r="J1" s="95"/>
      <c r="K1" s="95"/>
      <c r="L1" s="95"/>
      <c r="M1" s="95"/>
    </row>
    <row r="2" spans="1:19" ht="43.5">
      <c r="A2" s="5" t="s">
        <v>48</v>
      </c>
      <c r="B2" s="2" t="s">
        <v>49</v>
      </c>
      <c r="C2" s="2" t="s">
        <v>50</v>
      </c>
      <c r="D2" s="2" t="s">
        <v>51</v>
      </c>
      <c r="E2" s="2" t="s">
        <v>16</v>
      </c>
      <c r="F2" s="2" t="s">
        <v>52</v>
      </c>
      <c r="G2" s="2" t="s">
        <v>53</v>
      </c>
      <c r="H2" s="2" t="s">
        <v>54</v>
      </c>
      <c r="I2" s="2" t="s">
        <v>55</v>
      </c>
      <c r="J2" s="2" t="s">
        <v>56</v>
      </c>
      <c r="K2" s="2" t="s">
        <v>57</v>
      </c>
      <c r="L2" s="2" t="s">
        <v>58</v>
      </c>
      <c r="M2" s="2" t="s">
        <v>59</v>
      </c>
      <c r="N2" s="82" t="s">
        <v>60</v>
      </c>
      <c r="O2" s="82" t="s">
        <v>61</v>
      </c>
      <c r="P2" s="82" t="s">
        <v>62</v>
      </c>
      <c r="Q2" s="82" t="s">
        <v>63</v>
      </c>
      <c r="R2" s="82" t="s">
        <v>64</v>
      </c>
      <c r="S2" s="82" t="s">
        <v>46</v>
      </c>
    </row>
    <row r="3" spans="1:19" ht="29.25">
      <c r="A3" s="3">
        <v>1</v>
      </c>
      <c r="B3" s="4" t="s">
        <v>65</v>
      </c>
      <c r="C3" s="4" t="s">
        <v>66</v>
      </c>
      <c r="D3" s="4" t="s">
        <v>67</v>
      </c>
      <c r="E3" s="4" t="s">
        <v>68</v>
      </c>
      <c r="F3" s="4" t="s">
        <v>69</v>
      </c>
      <c r="G3" s="4" t="s">
        <v>70</v>
      </c>
      <c r="H3" s="4" t="s">
        <v>71</v>
      </c>
      <c r="I3" s="4" t="s">
        <v>72</v>
      </c>
      <c r="J3" s="4"/>
      <c r="K3" s="4"/>
      <c r="L3" s="4"/>
      <c r="M3" s="81"/>
      <c r="N3" s="12"/>
      <c r="O3" s="12"/>
      <c r="P3" s="12"/>
      <c r="Q3" s="12"/>
      <c r="R3" s="12"/>
      <c r="S3" s="12"/>
    </row>
    <row r="4" spans="1:19" ht="29.25">
      <c r="A4" s="3">
        <f>1+A3</f>
        <v>2</v>
      </c>
      <c r="B4" s="4" t="s">
        <v>73</v>
      </c>
      <c r="C4" s="4" t="s">
        <v>66</v>
      </c>
      <c r="D4" s="4" t="s">
        <v>67</v>
      </c>
      <c r="E4" s="4" t="s">
        <v>74</v>
      </c>
      <c r="F4" s="4" t="s">
        <v>75</v>
      </c>
      <c r="G4" s="4" t="s">
        <v>76</v>
      </c>
      <c r="H4" s="4" t="s">
        <v>77</v>
      </c>
      <c r="I4" s="4" t="s">
        <v>78</v>
      </c>
      <c r="J4" s="4"/>
      <c r="K4" s="4"/>
      <c r="L4" s="4"/>
      <c r="M4" s="81"/>
      <c r="N4" s="12"/>
      <c r="O4" s="12"/>
      <c r="P4" s="12"/>
      <c r="Q4" s="12"/>
      <c r="R4" s="12"/>
      <c r="S4" s="12"/>
    </row>
    <row r="5" spans="1:19" ht="29.25">
      <c r="A5" s="3">
        <f t="shared" ref="A5:A49" si="0">1+A4</f>
        <v>3</v>
      </c>
      <c r="B5" s="4" t="s">
        <v>79</v>
      </c>
      <c r="C5" s="4" t="s">
        <v>66</v>
      </c>
      <c r="D5" s="4" t="s">
        <v>67</v>
      </c>
      <c r="E5" s="4" t="s">
        <v>80</v>
      </c>
      <c r="F5" s="4" t="s">
        <v>81</v>
      </c>
      <c r="G5" s="4" t="s">
        <v>82</v>
      </c>
      <c r="H5" s="4" t="s">
        <v>83</v>
      </c>
      <c r="I5" s="4" t="s">
        <v>84</v>
      </c>
      <c r="J5" s="4"/>
      <c r="K5" s="4"/>
      <c r="L5" s="4"/>
      <c r="M5" s="81"/>
      <c r="N5" s="12"/>
      <c r="O5" s="12"/>
      <c r="P5" s="12"/>
      <c r="Q5" s="12"/>
      <c r="R5" s="12"/>
      <c r="S5" s="12"/>
    </row>
    <row r="6" spans="1:19" ht="29.25">
      <c r="A6" s="3">
        <f t="shared" si="0"/>
        <v>4</v>
      </c>
      <c r="B6" s="4" t="s">
        <v>85</v>
      </c>
      <c r="C6" s="4" t="s">
        <v>66</v>
      </c>
      <c r="D6" s="4" t="s">
        <v>86</v>
      </c>
      <c r="E6" s="4" t="s">
        <v>87</v>
      </c>
      <c r="F6" s="4" t="s">
        <v>88</v>
      </c>
      <c r="G6" s="4" t="s">
        <v>89</v>
      </c>
      <c r="H6" s="4" t="s">
        <v>90</v>
      </c>
      <c r="I6" s="4" t="s">
        <v>91</v>
      </c>
      <c r="J6" s="4" t="s">
        <v>92</v>
      </c>
      <c r="K6" s="4"/>
      <c r="L6" s="4"/>
      <c r="M6" s="81"/>
      <c r="N6" s="12"/>
      <c r="O6" s="12"/>
      <c r="P6" s="12"/>
      <c r="Q6" s="12"/>
      <c r="R6" s="12"/>
      <c r="S6" s="12"/>
    </row>
    <row r="7" spans="1:19" ht="130.5">
      <c r="A7" s="3">
        <f>1+A6</f>
        <v>5</v>
      </c>
      <c r="B7" s="4" t="s">
        <v>93</v>
      </c>
      <c r="C7" s="4" t="s">
        <v>94</v>
      </c>
      <c r="D7" s="4" t="s">
        <v>67</v>
      </c>
      <c r="E7" s="4" t="s">
        <v>95</v>
      </c>
      <c r="F7" s="4" t="s">
        <v>96</v>
      </c>
      <c r="G7" s="4" t="s">
        <v>97</v>
      </c>
      <c r="H7" s="4" t="s">
        <v>98</v>
      </c>
      <c r="I7" s="4" t="s">
        <v>99</v>
      </c>
      <c r="J7" s="4"/>
      <c r="K7" s="4"/>
      <c r="L7" s="4"/>
      <c r="M7" s="81"/>
      <c r="N7" s="12"/>
      <c r="O7" s="12"/>
      <c r="P7" s="12"/>
      <c r="Q7" s="12"/>
      <c r="R7" s="12"/>
      <c r="S7" s="12"/>
    </row>
    <row r="8" spans="1:19" ht="72.75">
      <c r="A8" s="3">
        <f t="shared" si="0"/>
        <v>6</v>
      </c>
      <c r="B8" s="4" t="s">
        <v>100</v>
      </c>
      <c r="C8" s="4" t="s">
        <v>94</v>
      </c>
      <c r="D8" s="4" t="s">
        <v>67</v>
      </c>
      <c r="E8" s="4" t="s">
        <v>101</v>
      </c>
      <c r="F8" s="4" t="s">
        <v>102</v>
      </c>
      <c r="G8" s="4" t="s">
        <v>103</v>
      </c>
      <c r="H8" s="4" t="s">
        <v>104</v>
      </c>
      <c r="I8" s="4" t="s">
        <v>105</v>
      </c>
      <c r="J8" s="4"/>
      <c r="K8" s="4"/>
      <c r="L8" s="4"/>
      <c r="M8" s="81"/>
      <c r="N8" s="12"/>
      <c r="O8" s="12"/>
      <c r="P8" s="12"/>
      <c r="Q8" s="12"/>
      <c r="R8" s="12"/>
      <c r="S8" s="12"/>
    </row>
    <row r="9" spans="1:19" ht="101.25">
      <c r="A9" s="3">
        <f>1+A8</f>
        <v>7</v>
      </c>
      <c r="B9" s="4" t="s">
        <v>106</v>
      </c>
      <c r="C9" s="4" t="s">
        <v>107</v>
      </c>
      <c r="D9" s="4" t="s">
        <v>67</v>
      </c>
      <c r="E9" s="4" t="s">
        <v>108</v>
      </c>
      <c r="F9" s="4" t="s">
        <v>109</v>
      </c>
      <c r="G9" s="4" t="s">
        <v>110</v>
      </c>
      <c r="H9" s="4" t="s">
        <v>111</v>
      </c>
      <c r="I9" s="4" t="s">
        <v>112</v>
      </c>
      <c r="J9" s="4"/>
      <c r="K9" s="4"/>
      <c r="L9" s="4"/>
      <c r="M9" s="81"/>
      <c r="N9" s="12"/>
      <c r="O9" s="12"/>
      <c r="P9" s="12"/>
      <c r="Q9" s="12"/>
      <c r="R9" s="12"/>
      <c r="S9" s="12"/>
    </row>
    <row r="10" spans="1:19" ht="87">
      <c r="A10" s="3">
        <f t="shared" si="0"/>
        <v>8</v>
      </c>
      <c r="B10" s="4" t="s">
        <v>113</v>
      </c>
      <c r="C10" s="4" t="s">
        <v>94</v>
      </c>
      <c r="D10" s="4" t="s">
        <v>67</v>
      </c>
      <c r="E10" s="4" t="s">
        <v>114</v>
      </c>
      <c r="F10" s="4" t="s">
        <v>115</v>
      </c>
      <c r="G10" s="4" t="s">
        <v>116</v>
      </c>
      <c r="H10" s="4" t="s">
        <v>117</v>
      </c>
      <c r="I10" s="4" t="s">
        <v>118</v>
      </c>
      <c r="J10" s="4"/>
      <c r="K10" s="4"/>
      <c r="L10" s="4"/>
      <c r="M10" s="81"/>
      <c r="N10" s="12"/>
      <c r="O10" s="12"/>
      <c r="P10" s="12"/>
      <c r="Q10" s="12"/>
      <c r="R10" s="12"/>
      <c r="S10" s="12"/>
    </row>
    <row r="11" spans="1:19" ht="72.75">
      <c r="A11" s="3">
        <f t="shared" si="0"/>
        <v>9</v>
      </c>
      <c r="B11" s="4" t="s">
        <v>119</v>
      </c>
      <c r="C11" s="4" t="s">
        <v>120</v>
      </c>
      <c r="D11" s="4" t="s">
        <v>67</v>
      </c>
      <c r="E11" s="4" t="s">
        <v>121</v>
      </c>
      <c r="F11" s="4" t="s">
        <v>122</v>
      </c>
      <c r="G11" s="4" t="s">
        <v>123</v>
      </c>
      <c r="H11" s="4" t="s">
        <v>124</v>
      </c>
      <c r="I11" s="4" t="s">
        <v>125</v>
      </c>
      <c r="J11" s="4"/>
      <c r="K11" s="4"/>
      <c r="L11" s="4"/>
      <c r="M11" s="81"/>
      <c r="N11" s="12"/>
      <c r="O11" s="12"/>
      <c r="P11" s="12"/>
      <c r="Q11" s="12"/>
      <c r="R11" s="12"/>
      <c r="S11" s="12"/>
    </row>
    <row r="12" spans="1:19" ht="72.75">
      <c r="A12" s="3">
        <f t="shared" si="0"/>
        <v>10</v>
      </c>
      <c r="B12" s="4" t="s">
        <v>126</v>
      </c>
      <c r="C12" s="4" t="s">
        <v>120</v>
      </c>
      <c r="D12" s="4" t="s">
        <v>67</v>
      </c>
      <c r="E12" s="4" t="s">
        <v>127</v>
      </c>
      <c r="F12" s="4" t="s">
        <v>128</v>
      </c>
      <c r="G12" s="4" t="s">
        <v>129</v>
      </c>
      <c r="H12" s="4" t="s">
        <v>130</v>
      </c>
      <c r="I12" s="4" t="s">
        <v>131</v>
      </c>
      <c r="J12" s="4"/>
      <c r="K12" s="4"/>
      <c r="L12" s="4"/>
      <c r="M12" s="81"/>
      <c r="N12" s="12"/>
      <c r="O12" s="12"/>
      <c r="P12" s="12"/>
      <c r="Q12" s="12"/>
      <c r="R12" s="12"/>
      <c r="S12" s="12"/>
    </row>
    <row r="13" spans="1:19" ht="72.75">
      <c r="A13" s="3">
        <f t="shared" si="0"/>
        <v>11</v>
      </c>
      <c r="B13" s="4" t="s">
        <v>132</v>
      </c>
      <c r="C13" s="4" t="s">
        <v>120</v>
      </c>
      <c r="D13" s="4" t="s">
        <v>67</v>
      </c>
      <c r="E13" s="4" t="s">
        <v>133</v>
      </c>
      <c r="F13" s="4" t="s">
        <v>134</v>
      </c>
      <c r="G13" s="4" t="s">
        <v>135</v>
      </c>
      <c r="H13" s="4" t="s">
        <v>136</v>
      </c>
      <c r="I13" s="4" t="s">
        <v>137</v>
      </c>
      <c r="J13" s="4"/>
      <c r="K13" s="4"/>
      <c r="L13" s="4"/>
      <c r="M13" s="81"/>
      <c r="N13" s="12"/>
      <c r="O13" s="12"/>
      <c r="P13" s="12"/>
      <c r="Q13" s="12"/>
      <c r="R13" s="12"/>
      <c r="S13" s="12"/>
    </row>
    <row r="14" spans="1:19" ht="72.75">
      <c r="A14" s="3">
        <f t="shared" si="0"/>
        <v>12</v>
      </c>
      <c r="B14" s="4" t="s">
        <v>138</v>
      </c>
      <c r="C14" s="4" t="s">
        <v>120</v>
      </c>
      <c r="D14" s="4" t="s">
        <v>67</v>
      </c>
      <c r="E14" s="4" t="s">
        <v>139</v>
      </c>
      <c r="F14" s="4" t="s">
        <v>140</v>
      </c>
      <c r="G14" s="4" t="s">
        <v>141</v>
      </c>
      <c r="H14" s="4" t="s">
        <v>142</v>
      </c>
      <c r="I14" s="4" t="s">
        <v>143</v>
      </c>
      <c r="J14" s="4"/>
      <c r="K14" s="4"/>
      <c r="L14" s="4"/>
      <c r="M14" s="81"/>
      <c r="N14" s="12"/>
      <c r="O14" s="12"/>
      <c r="P14" s="12"/>
      <c r="Q14" s="12"/>
      <c r="R14" s="12"/>
      <c r="S14" s="12"/>
    </row>
    <row r="15" spans="1:19" ht="72.75">
      <c r="A15" s="3">
        <f t="shared" si="0"/>
        <v>13</v>
      </c>
      <c r="B15" s="4" t="s">
        <v>144</v>
      </c>
      <c r="C15" s="4" t="s">
        <v>120</v>
      </c>
      <c r="D15" s="4" t="s">
        <v>67</v>
      </c>
      <c r="E15" s="4" t="s">
        <v>145</v>
      </c>
      <c r="F15" s="4" t="s">
        <v>146</v>
      </c>
      <c r="G15" s="4" t="s">
        <v>147</v>
      </c>
      <c r="H15" s="4" t="s">
        <v>148</v>
      </c>
      <c r="I15" s="4" t="s">
        <v>149</v>
      </c>
      <c r="J15" s="4"/>
      <c r="K15" s="4"/>
      <c r="L15" s="4"/>
      <c r="M15" s="81"/>
      <c r="N15" s="12"/>
      <c r="O15" s="12"/>
      <c r="P15" s="12"/>
      <c r="Q15" s="12"/>
      <c r="R15" s="12"/>
      <c r="S15" s="12"/>
    </row>
    <row r="16" spans="1:19" ht="72.75">
      <c r="A16" s="3">
        <f t="shared" si="0"/>
        <v>14</v>
      </c>
      <c r="B16" s="4" t="s">
        <v>150</v>
      </c>
      <c r="C16" s="4" t="s">
        <v>120</v>
      </c>
      <c r="D16" s="4" t="s">
        <v>67</v>
      </c>
      <c r="E16" s="4" t="s">
        <v>151</v>
      </c>
      <c r="F16" s="4" t="s">
        <v>152</v>
      </c>
      <c r="G16" s="4" t="s">
        <v>153</v>
      </c>
      <c r="H16" s="4" t="s">
        <v>154</v>
      </c>
      <c r="I16" s="4" t="s">
        <v>155</v>
      </c>
      <c r="J16" s="4"/>
      <c r="K16" s="4"/>
      <c r="L16" s="4"/>
      <c r="M16" s="81"/>
      <c r="N16" s="12"/>
      <c r="O16" s="12"/>
      <c r="P16" s="12"/>
      <c r="Q16" s="12"/>
      <c r="R16" s="12"/>
      <c r="S16" s="12"/>
    </row>
    <row r="17" spans="1:19" ht="72.75">
      <c r="A17" s="3">
        <f t="shared" si="0"/>
        <v>15</v>
      </c>
      <c r="B17" s="4" t="s">
        <v>156</v>
      </c>
      <c r="C17" s="4" t="s">
        <v>120</v>
      </c>
      <c r="D17" s="4" t="s">
        <v>67</v>
      </c>
      <c r="E17" s="4" t="s">
        <v>157</v>
      </c>
      <c r="F17" s="4" t="s">
        <v>158</v>
      </c>
      <c r="G17" s="4" t="s">
        <v>159</v>
      </c>
      <c r="H17" s="4" t="s">
        <v>160</v>
      </c>
      <c r="I17" s="4" t="s">
        <v>161</v>
      </c>
      <c r="J17" s="4"/>
      <c r="K17" s="4"/>
      <c r="L17" s="4"/>
      <c r="M17" s="81"/>
      <c r="N17" s="12"/>
      <c r="O17" s="12"/>
      <c r="P17" s="12"/>
      <c r="Q17" s="12"/>
      <c r="R17" s="12"/>
      <c r="S17" s="12"/>
    </row>
    <row r="18" spans="1:19" ht="72.75">
      <c r="A18" s="3">
        <f t="shared" si="0"/>
        <v>16</v>
      </c>
      <c r="B18" s="4" t="s">
        <v>162</v>
      </c>
      <c r="C18" s="4" t="s">
        <v>120</v>
      </c>
      <c r="D18" s="4" t="s">
        <v>67</v>
      </c>
      <c r="E18" s="4" t="s">
        <v>163</v>
      </c>
      <c r="F18" s="4" t="s">
        <v>164</v>
      </c>
      <c r="G18" s="4" t="s">
        <v>165</v>
      </c>
      <c r="H18" s="4" t="s">
        <v>166</v>
      </c>
      <c r="I18" s="4" t="s">
        <v>167</v>
      </c>
      <c r="J18" s="4"/>
      <c r="K18" s="4"/>
      <c r="L18" s="4"/>
      <c r="M18" s="81"/>
      <c r="N18" s="12"/>
      <c r="O18" s="12"/>
      <c r="P18" s="12"/>
      <c r="Q18" s="12"/>
      <c r="R18" s="12"/>
      <c r="S18" s="12"/>
    </row>
    <row r="19" spans="1:19" ht="101.25">
      <c r="A19" s="3">
        <f t="shared" si="0"/>
        <v>17</v>
      </c>
      <c r="B19" s="4" t="s">
        <v>168</v>
      </c>
      <c r="C19" s="4" t="s">
        <v>120</v>
      </c>
      <c r="D19" s="4" t="s">
        <v>67</v>
      </c>
      <c r="E19" s="4" t="s">
        <v>169</v>
      </c>
      <c r="F19" s="4" t="s">
        <v>170</v>
      </c>
      <c r="G19" s="4" t="s">
        <v>89</v>
      </c>
      <c r="H19" s="4" t="s">
        <v>171</v>
      </c>
      <c r="I19" s="4" t="s">
        <v>172</v>
      </c>
      <c r="J19" s="4"/>
      <c r="K19" s="4"/>
      <c r="L19" s="4"/>
      <c r="M19" s="81"/>
      <c r="N19" s="12"/>
      <c r="O19" s="12"/>
      <c r="P19" s="12"/>
      <c r="Q19" s="12"/>
      <c r="R19" s="12"/>
      <c r="S19" s="12"/>
    </row>
    <row r="20" spans="1:19" ht="101.25">
      <c r="A20" s="3">
        <f t="shared" si="0"/>
        <v>18</v>
      </c>
      <c r="B20" s="4" t="s">
        <v>173</v>
      </c>
      <c r="C20" s="4" t="s">
        <v>120</v>
      </c>
      <c r="D20" s="4" t="s">
        <v>67</v>
      </c>
      <c r="E20" s="4" t="s">
        <v>174</v>
      </c>
      <c r="F20" s="4" t="s">
        <v>175</v>
      </c>
      <c r="G20" s="4" t="s">
        <v>176</v>
      </c>
      <c r="H20" s="4" t="s">
        <v>177</v>
      </c>
      <c r="I20" s="4" t="s">
        <v>178</v>
      </c>
      <c r="J20" s="4"/>
      <c r="K20" s="4"/>
      <c r="L20" s="4"/>
      <c r="M20" s="81"/>
      <c r="N20" s="12"/>
      <c r="O20" s="12"/>
      <c r="P20" s="12"/>
      <c r="Q20" s="12"/>
      <c r="R20" s="12"/>
      <c r="S20" s="12"/>
    </row>
    <row r="21" spans="1:19" ht="101.25">
      <c r="A21" s="3">
        <f t="shared" si="0"/>
        <v>19</v>
      </c>
      <c r="B21" s="4" t="s">
        <v>179</v>
      </c>
      <c r="C21" s="4" t="s">
        <v>180</v>
      </c>
      <c r="D21" s="4" t="s">
        <v>67</v>
      </c>
      <c r="E21" s="4" t="s">
        <v>181</v>
      </c>
      <c r="F21" s="4" t="s">
        <v>182</v>
      </c>
      <c r="G21" s="4" t="s">
        <v>183</v>
      </c>
      <c r="H21" s="4" t="s">
        <v>184</v>
      </c>
      <c r="I21" s="4" t="s">
        <v>185</v>
      </c>
      <c r="J21" s="4"/>
      <c r="K21" s="4"/>
      <c r="L21" s="4"/>
      <c r="M21" s="81"/>
      <c r="N21" s="12"/>
      <c r="O21" s="12"/>
      <c r="P21" s="12"/>
      <c r="Q21" s="12"/>
      <c r="R21" s="12"/>
      <c r="S21" s="12"/>
    </row>
    <row r="22" spans="1:19" ht="87">
      <c r="A22" s="3">
        <f t="shared" si="0"/>
        <v>20</v>
      </c>
      <c r="B22" s="4" t="s">
        <v>186</v>
      </c>
      <c r="C22" s="4" t="s">
        <v>187</v>
      </c>
      <c r="D22" s="4" t="s">
        <v>67</v>
      </c>
      <c r="E22" s="4" t="s">
        <v>188</v>
      </c>
      <c r="F22" s="4" t="s">
        <v>189</v>
      </c>
      <c r="G22" s="4" t="s">
        <v>110</v>
      </c>
      <c r="H22" s="4" t="s">
        <v>190</v>
      </c>
      <c r="I22" s="4" t="s">
        <v>191</v>
      </c>
      <c r="J22" s="4"/>
      <c r="K22" s="4"/>
      <c r="L22" s="4"/>
      <c r="M22" s="81"/>
      <c r="N22" s="12"/>
      <c r="O22" s="12"/>
      <c r="P22" s="12"/>
      <c r="Q22" s="12"/>
      <c r="R22" s="12"/>
      <c r="S22" s="12"/>
    </row>
    <row r="23" spans="1:19" ht="87">
      <c r="A23" s="3">
        <f t="shared" si="0"/>
        <v>21</v>
      </c>
      <c r="B23" s="4" t="s">
        <v>192</v>
      </c>
      <c r="C23" s="4" t="s">
        <v>193</v>
      </c>
      <c r="D23" s="4" t="s">
        <v>67</v>
      </c>
      <c r="E23" s="4" t="s">
        <v>194</v>
      </c>
      <c r="F23" s="4" t="s">
        <v>195</v>
      </c>
      <c r="G23" s="4" t="s">
        <v>196</v>
      </c>
      <c r="H23" s="4" t="s">
        <v>197</v>
      </c>
      <c r="I23" s="4" t="s">
        <v>198</v>
      </c>
      <c r="J23" s="4"/>
      <c r="K23" s="4"/>
      <c r="L23" s="4"/>
      <c r="M23" s="81"/>
      <c r="N23" s="12"/>
      <c r="O23" s="12"/>
      <c r="P23" s="12"/>
      <c r="Q23" s="12"/>
      <c r="R23" s="12"/>
      <c r="S23" s="12"/>
    </row>
    <row r="24" spans="1:19" ht="83.25" customHeight="1">
      <c r="A24" s="3">
        <f t="shared" si="0"/>
        <v>22</v>
      </c>
      <c r="B24" s="4" t="s">
        <v>199</v>
      </c>
      <c r="C24" s="4" t="s">
        <v>200</v>
      </c>
      <c r="D24" s="4" t="s">
        <v>201</v>
      </c>
      <c r="E24" s="4" t="s">
        <v>202</v>
      </c>
      <c r="F24" s="4" t="s">
        <v>203</v>
      </c>
      <c r="G24" s="4" t="s">
        <v>204</v>
      </c>
      <c r="H24" s="4" t="s">
        <v>205</v>
      </c>
      <c r="I24" s="4" t="s">
        <v>206</v>
      </c>
      <c r="J24" s="4"/>
      <c r="K24" s="4"/>
      <c r="L24" s="4"/>
      <c r="M24" s="81"/>
      <c r="N24" s="12"/>
      <c r="O24" s="12"/>
      <c r="P24" s="12"/>
      <c r="Q24" s="12"/>
      <c r="R24" s="12"/>
      <c r="S24" s="12"/>
    </row>
    <row r="25" spans="1:19" ht="57.75">
      <c r="A25" s="3">
        <f t="shared" si="0"/>
        <v>23</v>
      </c>
      <c r="B25" s="4" t="s">
        <v>207</v>
      </c>
      <c r="C25" s="4" t="s">
        <v>200</v>
      </c>
      <c r="D25" s="4" t="s">
        <v>201</v>
      </c>
      <c r="E25" s="4" t="s">
        <v>208</v>
      </c>
      <c r="F25" s="4" t="s">
        <v>209</v>
      </c>
      <c r="G25" s="4" t="s">
        <v>210</v>
      </c>
      <c r="H25" s="4" t="s">
        <v>211</v>
      </c>
      <c r="I25" s="4" t="s">
        <v>212</v>
      </c>
      <c r="J25" s="4"/>
      <c r="K25" s="4"/>
      <c r="L25" s="4"/>
      <c r="M25" s="81"/>
      <c r="N25" s="12"/>
      <c r="O25" s="12"/>
      <c r="P25" s="12"/>
      <c r="Q25" s="12"/>
      <c r="R25" s="12"/>
      <c r="S25" s="12"/>
    </row>
    <row r="26" spans="1:19" ht="43.5">
      <c r="A26" s="3">
        <f t="shared" si="0"/>
        <v>24</v>
      </c>
      <c r="B26" s="4" t="s">
        <v>213</v>
      </c>
      <c r="C26" s="4" t="s">
        <v>200</v>
      </c>
      <c r="D26" s="4" t="s">
        <v>67</v>
      </c>
      <c r="E26" s="4" t="s">
        <v>214</v>
      </c>
      <c r="F26" s="4" t="s">
        <v>215</v>
      </c>
      <c r="G26" s="4" t="s">
        <v>216</v>
      </c>
      <c r="H26" s="4" t="s">
        <v>217</v>
      </c>
      <c r="I26" s="4" t="s">
        <v>218</v>
      </c>
      <c r="J26" s="4"/>
      <c r="K26" s="4"/>
      <c r="L26" s="4"/>
      <c r="M26" s="81"/>
      <c r="N26" s="12"/>
      <c r="O26" s="12"/>
      <c r="P26" s="12"/>
      <c r="Q26" s="12"/>
      <c r="R26" s="12"/>
      <c r="S26" s="12"/>
    </row>
    <row r="27" spans="1:19" ht="29.25">
      <c r="A27" s="3">
        <f t="shared" si="0"/>
        <v>25</v>
      </c>
      <c r="B27" s="4" t="s">
        <v>219</v>
      </c>
      <c r="C27" s="4" t="s">
        <v>200</v>
      </c>
      <c r="D27" s="4" t="s">
        <v>67</v>
      </c>
      <c r="E27" s="4" t="s">
        <v>220</v>
      </c>
      <c r="F27" s="4" t="s">
        <v>221</v>
      </c>
      <c r="G27" s="4" t="s">
        <v>222</v>
      </c>
      <c r="H27" s="4" t="s">
        <v>223</v>
      </c>
      <c r="I27" s="4" t="s">
        <v>224</v>
      </c>
      <c r="J27" s="4"/>
      <c r="K27" s="4"/>
      <c r="L27" s="16"/>
      <c r="M27" s="81"/>
      <c r="N27" s="12"/>
      <c r="O27" s="12"/>
      <c r="P27" s="12"/>
      <c r="Q27" s="12"/>
      <c r="R27" s="12"/>
      <c r="S27" s="12"/>
    </row>
    <row r="28" spans="1:19" ht="57.75">
      <c r="A28" s="20">
        <f t="shared" si="0"/>
        <v>26</v>
      </c>
      <c r="B28" s="16" t="s">
        <v>225</v>
      </c>
      <c r="C28" s="16" t="s">
        <v>200</v>
      </c>
      <c r="D28" s="16" t="s">
        <v>201</v>
      </c>
      <c r="E28" s="16" t="s">
        <v>226</v>
      </c>
      <c r="F28" s="16" t="s">
        <v>227</v>
      </c>
      <c r="G28" s="16" t="s">
        <v>228</v>
      </c>
      <c r="H28" s="16" t="s">
        <v>229</v>
      </c>
      <c r="I28" s="16" t="s">
        <v>230</v>
      </c>
      <c r="J28" s="16"/>
      <c r="K28" s="22"/>
      <c r="L28" s="21"/>
      <c r="M28" s="86"/>
      <c r="N28" s="12"/>
      <c r="O28" s="12"/>
      <c r="P28" s="12"/>
      <c r="Q28" s="12"/>
      <c r="R28" s="12"/>
      <c r="S28" s="12"/>
    </row>
    <row r="29" spans="1:19" ht="87">
      <c r="A29" s="20">
        <f t="shared" si="0"/>
        <v>27</v>
      </c>
      <c r="B29" s="21" t="s">
        <v>231</v>
      </c>
      <c r="C29" s="21" t="s">
        <v>66</v>
      </c>
      <c r="D29" s="21" t="s">
        <v>67</v>
      </c>
      <c r="E29" s="21" t="s">
        <v>232</v>
      </c>
      <c r="F29" s="21" t="s">
        <v>233</v>
      </c>
      <c r="G29" s="21" t="s">
        <v>234</v>
      </c>
      <c r="H29" s="21" t="s">
        <v>235</v>
      </c>
      <c r="I29" s="21" t="s">
        <v>236</v>
      </c>
      <c r="J29" s="21"/>
      <c r="K29" s="23"/>
      <c r="L29" s="12"/>
      <c r="M29" s="87"/>
      <c r="N29" s="21"/>
      <c r="O29" s="21"/>
      <c r="P29" s="21"/>
      <c r="Q29" s="12"/>
      <c r="R29" s="12"/>
      <c r="S29" s="12"/>
    </row>
    <row r="30" spans="1:19" ht="101.25">
      <c r="A30" s="20">
        <f t="shared" si="0"/>
        <v>28</v>
      </c>
      <c r="B30" s="21" t="s">
        <v>237</v>
      </c>
      <c r="C30" s="21" t="s">
        <v>66</v>
      </c>
      <c r="D30" s="21" t="s">
        <v>67</v>
      </c>
      <c r="E30" s="21" t="s">
        <v>238</v>
      </c>
      <c r="F30" s="21" t="s">
        <v>239</v>
      </c>
      <c r="G30" s="21" t="s">
        <v>240</v>
      </c>
      <c r="H30" s="21" t="s">
        <v>241</v>
      </c>
      <c r="I30" s="21" t="s">
        <v>242</v>
      </c>
      <c r="J30" s="21"/>
      <c r="K30" s="23"/>
      <c r="L30" s="12"/>
      <c r="M30" s="87"/>
      <c r="N30" s="21"/>
      <c r="O30" s="21"/>
      <c r="P30" s="21"/>
      <c r="Q30" s="12"/>
      <c r="R30" s="12"/>
      <c r="S30" s="12"/>
    </row>
    <row r="31" spans="1:19" ht="101.25">
      <c r="A31" s="20">
        <f t="shared" si="0"/>
        <v>29</v>
      </c>
      <c r="B31" s="21" t="s">
        <v>243</v>
      </c>
      <c r="C31" s="21" t="s">
        <v>66</v>
      </c>
      <c r="D31" s="21" t="s">
        <v>67</v>
      </c>
      <c r="E31" s="21" t="s">
        <v>244</v>
      </c>
      <c r="F31" s="21" t="s">
        <v>245</v>
      </c>
      <c r="G31" s="21" t="s">
        <v>246</v>
      </c>
      <c r="H31" s="21" t="s">
        <v>247</v>
      </c>
      <c r="I31" s="21" t="s">
        <v>248</v>
      </c>
      <c r="J31" s="21"/>
      <c r="K31" s="23"/>
      <c r="L31" s="12"/>
      <c r="M31" s="87"/>
      <c r="N31" s="21"/>
      <c r="O31" s="21"/>
      <c r="P31" s="21"/>
      <c r="Q31" s="12"/>
      <c r="R31" s="12"/>
      <c r="S31" s="12"/>
    </row>
    <row r="32" spans="1:19" ht="101.25">
      <c r="A32" s="20">
        <f t="shared" si="0"/>
        <v>30</v>
      </c>
      <c r="B32" s="21" t="s">
        <v>249</v>
      </c>
      <c r="C32" s="21" t="s">
        <v>66</v>
      </c>
      <c r="D32" s="21" t="s">
        <v>67</v>
      </c>
      <c r="E32" s="21" t="s">
        <v>250</v>
      </c>
      <c r="F32" s="21" t="s">
        <v>251</v>
      </c>
      <c r="G32" s="21" t="s">
        <v>252</v>
      </c>
      <c r="H32" s="21" t="s">
        <v>253</v>
      </c>
      <c r="I32" s="21" t="s">
        <v>254</v>
      </c>
      <c r="J32" s="21"/>
      <c r="K32" s="23"/>
      <c r="L32" s="12"/>
      <c r="M32" s="87"/>
      <c r="N32" s="21"/>
      <c r="O32" s="21"/>
      <c r="P32" s="21"/>
      <c r="Q32" s="12"/>
      <c r="R32" s="12"/>
      <c r="S32" s="12"/>
    </row>
    <row r="33" spans="1:19" ht="115.5">
      <c r="A33" s="20">
        <f t="shared" si="0"/>
        <v>31</v>
      </c>
      <c r="B33" s="21" t="s">
        <v>255</v>
      </c>
      <c r="C33" s="21" t="s">
        <v>66</v>
      </c>
      <c r="D33" s="21" t="s">
        <v>67</v>
      </c>
      <c r="E33" s="21" t="s">
        <v>256</v>
      </c>
      <c r="F33" s="21" t="s">
        <v>257</v>
      </c>
      <c r="G33" s="21" t="s">
        <v>258</v>
      </c>
      <c r="H33" s="21" t="s">
        <v>259</v>
      </c>
      <c r="I33" s="21" t="s">
        <v>260</v>
      </c>
      <c r="J33" s="21"/>
      <c r="K33" s="23"/>
      <c r="L33" s="12"/>
      <c r="M33" s="87"/>
      <c r="N33" s="21"/>
      <c r="O33" s="21"/>
      <c r="P33" s="21"/>
      <c r="Q33" s="12"/>
      <c r="R33" s="12"/>
      <c r="S33" s="12"/>
    </row>
    <row r="34" spans="1:19" ht="72.75">
      <c r="A34" s="20">
        <f t="shared" si="0"/>
        <v>32</v>
      </c>
      <c r="B34" s="21" t="s">
        <v>261</v>
      </c>
      <c r="C34" s="21" t="s">
        <v>66</v>
      </c>
      <c r="D34" s="21" t="s">
        <v>67</v>
      </c>
      <c r="E34" s="21" t="s">
        <v>262</v>
      </c>
      <c r="F34" s="21" t="s">
        <v>263</v>
      </c>
      <c r="G34" s="21" t="s">
        <v>264</v>
      </c>
      <c r="H34" s="21" t="s">
        <v>265</v>
      </c>
      <c r="I34" s="21" t="s">
        <v>266</v>
      </c>
      <c r="J34" s="21"/>
      <c r="K34" s="23"/>
      <c r="L34" s="12"/>
      <c r="M34" s="87"/>
      <c r="N34" s="21"/>
      <c r="O34" s="21"/>
      <c r="P34" s="21"/>
      <c r="Q34" s="12"/>
      <c r="R34" s="12"/>
      <c r="S34" s="12"/>
    </row>
    <row r="35" spans="1:19" ht="101.25">
      <c r="A35" s="20">
        <f t="shared" si="0"/>
        <v>33</v>
      </c>
      <c r="B35" s="21" t="s">
        <v>267</v>
      </c>
      <c r="C35" s="21" t="s">
        <v>66</v>
      </c>
      <c r="D35" s="21" t="s">
        <v>67</v>
      </c>
      <c r="E35" s="21" t="s">
        <v>268</v>
      </c>
      <c r="F35" s="21" t="s">
        <v>269</v>
      </c>
      <c r="G35" s="21" t="s">
        <v>270</v>
      </c>
      <c r="H35" s="21" t="s">
        <v>271</v>
      </c>
      <c r="I35" s="21" t="s">
        <v>272</v>
      </c>
      <c r="J35" s="21"/>
      <c r="K35" s="23"/>
      <c r="L35" s="12"/>
      <c r="M35" s="87"/>
      <c r="N35" s="21"/>
      <c r="O35" s="21"/>
      <c r="P35" s="21"/>
      <c r="Q35" s="12"/>
      <c r="R35" s="12"/>
      <c r="S35" s="12"/>
    </row>
    <row r="36" spans="1:19" ht="101.25">
      <c r="A36" s="20">
        <f t="shared" si="0"/>
        <v>34</v>
      </c>
      <c r="B36" s="21" t="s">
        <v>273</v>
      </c>
      <c r="C36" s="21" t="s">
        <v>66</v>
      </c>
      <c r="D36" s="21" t="s">
        <v>201</v>
      </c>
      <c r="E36" s="21" t="s">
        <v>274</v>
      </c>
      <c r="F36" s="21" t="s">
        <v>275</v>
      </c>
      <c r="G36" s="21" t="s">
        <v>276</v>
      </c>
      <c r="H36" s="21" t="s">
        <v>277</v>
      </c>
      <c r="I36" s="21" t="s">
        <v>278</v>
      </c>
      <c r="J36" s="21"/>
      <c r="K36" s="23"/>
      <c r="L36" s="12"/>
      <c r="M36" s="87"/>
      <c r="N36" s="21"/>
      <c r="O36" s="21"/>
      <c r="P36" s="21"/>
      <c r="Q36" s="12"/>
      <c r="R36" s="12"/>
      <c r="S36" s="12"/>
    </row>
    <row r="37" spans="1:19" ht="101.25">
      <c r="A37" s="20">
        <f t="shared" si="0"/>
        <v>35</v>
      </c>
      <c r="B37" s="21" t="s">
        <v>279</v>
      </c>
      <c r="C37" s="21" t="s">
        <v>66</v>
      </c>
      <c r="D37" s="21" t="s">
        <v>67</v>
      </c>
      <c r="E37" s="21" t="s">
        <v>280</v>
      </c>
      <c r="F37" s="21" t="s">
        <v>281</v>
      </c>
      <c r="G37" s="21" t="s">
        <v>282</v>
      </c>
      <c r="H37" s="21" t="s">
        <v>283</v>
      </c>
      <c r="I37" s="21" t="s">
        <v>284</v>
      </c>
      <c r="J37" s="21"/>
      <c r="K37" s="23"/>
      <c r="L37" s="12"/>
      <c r="M37" s="87"/>
      <c r="N37" s="21"/>
      <c r="O37" s="21"/>
      <c r="P37" s="21"/>
      <c r="Q37" s="12"/>
      <c r="R37" s="12"/>
      <c r="S37" s="12"/>
    </row>
    <row r="38" spans="1:19" ht="101.25">
      <c r="A38" s="20">
        <f t="shared" si="0"/>
        <v>36</v>
      </c>
      <c r="B38" s="21" t="s">
        <v>285</v>
      </c>
      <c r="C38" s="21" t="s">
        <v>66</v>
      </c>
      <c r="D38" s="21" t="s">
        <v>67</v>
      </c>
      <c r="E38" s="21" t="s">
        <v>286</v>
      </c>
      <c r="F38" s="21" t="s">
        <v>287</v>
      </c>
      <c r="G38" s="21" t="s">
        <v>288</v>
      </c>
      <c r="H38" s="21" t="s">
        <v>289</v>
      </c>
      <c r="I38" s="21" t="s">
        <v>290</v>
      </c>
      <c r="J38" s="21"/>
      <c r="K38" s="23"/>
      <c r="L38" s="12"/>
      <c r="M38" s="87"/>
      <c r="N38" s="21"/>
      <c r="O38" s="21"/>
      <c r="P38" s="21"/>
      <c r="Q38" s="12"/>
      <c r="R38" s="12"/>
      <c r="S38" s="12"/>
    </row>
    <row r="39" spans="1:19" ht="87">
      <c r="A39" s="20">
        <f t="shared" si="0"/>
        <v>37</v>
      </c>
      <c r="B39" s="21" t="s">
        <v>291</v>
      </c>
      <c r="C39" s="21" t="s">
        <v>66</v>
      </c>
      <c r="D39" s="21" t="s">
        <v>67</v>
      </c>
      <c r="E39" s="21" t="s">
        <v>292</v>
      </c>
      <c r="F39" s="21" t="s">
        <v>293</v>
      </c>
      <c r="G39" s="21" t="s">
        <v>294</v>
      </c>
      <c r="H39" s="21" t="s">
        <v>295</v>
      </c>
      <c r="I39" s="21" t="s">
        <v>296</v>
      </c>
      <c r="J39" s="21"/>
      <c r="K39" s="23"/>
      <c r="L39" s="12"/>
      <c r="M39" s="87"/>
      <c r="N39" s="21"/>
      <c r="O39" s="21"/>
      <c r="P39" s="21"/>
      <c r="Q39" s="12"/>
      <c r="R39" s="12"/>
      <c r="S39" s="12"/>
    </row>
    <row r="40" spans="1:19" ht="87">
      <c r="A40" s="20">
        <f t="shared" si="0"/>
        <v>38</v>
      </c>
      <c r="B40" s="21" t="s">
        <v>297</v>
      </c>
      <c r="C40" s="21" t="s">
        <v>66</v>
      </c>
      <c r="D40" s="21" t="s">
        <v>67</v>
      </c>
      <c r="E40" s="21" t="s">
        <v>298</v>
      </c>
      <c r="F40" s="21" t="s">
        <v>299</v>
      </c>
      <c r="G40" s="21" t="s">
        <v>300</v>
      </c>
      <c r="H40" s="21" t="s">
        <v>301</v>
      </c>
      <c r="I40" s="21" t="s">
        <v>302</v>
      </c>
      <c r="J40" s="21"/>
      <c r="K40" s="23"/>
      <c r="L40" s="12"/>
      <c r="M40" s="87"/>
      <c r="N40" s="21"/>
      <c r="O40" s="21"/>
      <c r="P40" s="21"/>
      <c r="Q40" s="12"/>
      <c r="R40" s="12"/>
      <c r="S40" s="12"/>
    </row>
    <row r="41" spans="1:19" ht="101.25">
      <c r="A41" s="20">
        <f t="shared" si="0"/>
        <v>39</v>
      </c>
      <c r="B41" s="21" t="s">
        <v>303</v>
      </c>
      <c r="C41" s="21" t="s">
        <v>66</v>
      </c>
      <c r="D41" s="21" t="s">
        <v>67</v>
      </c>
      <c r="E41" s="21" t="s">
        <v>304</v>
      </c>
      <c r="F41" s="21" t="s">
        <v>305</v>
      </c>
      <c r="G41" s="21" t="s">
        <v>82</v>
      </c>
      <c r="H41" s="21" t="s">
        <v>306</v>
      </c>
      <c r="I41" s="21" t="s">
        <v>307</v>
      </c>
      <c r="J41" s="21"/>
      <c r="K41" s="23"/>
      <c r="L41" s="12"/>
      <c r="M41" s="87"/>
      <c r="N41" s="21"/>
      <c r="O41" s="21"/>
      <c r="P41" s="21"/>
      <c r="Q41" s="12"/>
      <c r="R41" s="12"/>
      <c r="S41" s="12"/>
    </row>
    <row r="42" spans="1:19" ht="159">
      <c r="A42" s="20">
        <f t="shared" si="0"/>
        <v>40</v>
      </c>
      <c r="B42" s="21" t="s">
        <v>308</v>
      </c>
      <c r="C42" s="21" t="s">
        <v>66</v>
      </c>
      <c r="D42" s="83" t="s">
        <v>201</v>
      </c>
      <c r="E42" s="83" t="s">
        <v>309</v>
      </c>
      <c r="F42" s="83" t="s">
        <v>310</v>
      </c>
      <c r="G42" s="83" t="s">
        <v>311</v>
      </c>
      <c r="H42" s="83" t="s">
        <v>312</v>
      </c>
      <c r="I42" s="83" t="s">
        <v>313</v>
      </c>
      <c r="J42" s="83"/>
      <c r="K42" s="88"/>
      <c r="L42" s="54"/>
      <c r="M42" s="89"/>
      <c r="N42" s="21"/>
      <c r="O42" s="21"/>
      <c r="P42" s="21"/>
      <c r="Q42" s="12"/>
      <c r="R42" s="12"/>
      <c r="S42" s="12"/>
    </row>
    <row r="43" spans="1:19" ht="87">
      <c r="A43" s="20">
        <f t="shared" si="0"/>
        <v>41</v>
      </c>
      <c r="B43" s="21" t="s">
        <v>314</v>
      </c>
      <c r="C43" s="23" t="s">
        <v>66</v>
      </c>
      <c r="D43" s="18" t="s">
        <v>315</v>
      </c>
      <c r="E43" s="18" t="s">
        <v>316</v>
      </c>
      <c r="F43" s="18" t="s">
        <v>317</v>
      </c>
      <c r="G43" s="18" t="s">
        <v>318</v>
      </c>
      <c r="H43" s="18" t="s">
        <v>319</v>
      </c>
      <c r="I43" s="18" t="s">
        <v>320</v>
      </c>
      <c r="J43" s="18"/>
      <c r="K43" s="18"/>
      <c r="L43" s="18"/>
      <c r="M43" s="18"/>
      <c r="N43" s="49"/>
      <c r="O43" s="18"/>
      <c r="P43" s="18"/>
      <c r="Q43" s="36"/>
      <c r="R43" s="36"/>
      <c r="S43" s="36"/>
    </row>
    <row r="44" spans="1:19" ht="87">
      <c r="A44" s="20">
        <f t="shared" si="0"/>
        <v>42</v>
      </c>
      <c r="B44" s="21" t="s">
        <v>321</v>
      </c>
      <c r="C44" s="23" t="s">
        <v>66</v>
      </c>
      <c r="D44" s="18" t="s">
        <v>315</v>
      </c>
      <c r="E44" s="18" t="s">
        <v>322</v>
      </c>
      <c r="F44" s="18" t="s">
        <v>323</v>
      </c>
      <c r="G44" s="18" t="s">
        <v>324</v>
      </c>
      <c r="H44" s="18" t="s">
        <v>325</v>
      </c>
      <c r="I44" s="18" t="s">
        <v>326</v>
      </c>
      <c r="J44" s="18"/>
      <c r="K44" s="18"/>
      <c r="L44" s="18"/>
      <c r="M44" s="18"/>
      <c r="N44" s="49"/>
      <c r="O44" s="18"/>
      <c r="P44" s="18"/>
      <c r="Q44" s="36"/>
      <c r="R44" s="36"/>
      <c r="S44" s="36"/>
    </row>
    <row r="45" spans="1:19" ht="87">
      <c r="A45" s="20">
        <f t="shared" si="0"/>
        <v>43</v>
      </c>
      <c r="B45" s="21" t="s">
        <v>327</v>
      </c>
      <c r="C45" s="23" t="s">
        <v>66</v>
      </c>
      <c r="D45" s="18" t="s">
        <v>315</v>
      </c>
      <c r="E45" s="18" t="s">
        <v>328</v>
      </c>
      <c r="F45" s="18" t="s">
        <v>329</v>
      </c>
      <c r="G45" s="18" t="s">
        <v>330</v>
      </c>
      <c r="H45" s="18" t="s">
        <v>331</v>
      </c>
      <c r="I45" s="18" t="s">
        <v>332</v>
      </c>
      <c r="J45" s="18"/>
      <c r="K45" s="18"/>
      <c r="L45" s="18"/>
      <c r="M45" s="18"/>
      <c r="N45" s="49"/>
      <c r="O45" s="18"/>
      <c r="P45" s="18"/>
      <c r="Q45" s="36"/>
      <c r="R45" s="36"/>
      <c r="S45" s="36"/>
    </row>
    <row r="46" spans="1:19" ht="72.75">
      <c r="A46" s="20">
        <f t="shared" si="0"/>
        <v>44</v>
      </c>
      <c r="B46" s="21" t="s">
        <v>333</v>
      </c>
      <c r="C46" s="23" t="s">
        <v>66</v>
      </c>
      <c r="D46" s="18" t="s">
        <v>315</v>
      </c>
      <c r="E46" s="18" t="s">
        <v>334</v>
      </c>
      <c r="F46" s="18" t="s">
        <v>335</v>
      </c>
      <c r="G46" s="18" t="s">
        <v>336</v>
      </c>
      <c r="H46" s="18" t="s">
        <v>337</v>
      </c>
      <c r="I46" s="18" t="s">
        <v>338</v>
      </c>
      <c r="J46" s="18"/>
      <c r="K46" s="18"/>
      <c r="L46" s="18"/>
      <c r="M46" s="18"/>
      <c r="N46" s="49"/>
      <c r="O46" s="18"/>
      <c r="P46" s="18"/>
      <c r="Q46" s="36"/>
      <c r="R46" s="36"/>
      <c r="S46" s="36"/>
    </row>
    <row r="47" spans="1:19" ht="72.75">
      <c r="A47" s="20">
        <f t="shared" si="0"/>
        <v>45</v>
      </c>
      <c r="B47" s="21" t="s">
        <v>339</v>
      </c>
      <c r="C47" s="23" t="s">
        <v>66</v>
      </c>
      <c r="D47" s="18" t="s">
        <v>315</v>
      </c>
      <c r="E47" s="18" t="s">
        <v>340</v>
      </c>
      <c r="F47" s="18" t="s">
        <v>341</v>
      </c>
      <c r="G47" s="18" t="s">
        <v>336</v>
      </c>
      <c r="H47" s="18" t="s">
        <v>342</v>
      </c>
      <c r="I47" s="18" t="s">
        <v>343</v>
      </c>
      <c r="J47" s="18"/>
      <c r="K47" s="18"/>
      <c r="L47" s="18"/>
      <c r="M47" s="18"/>
      <c r="N47" s="49"/>
      <c r="O47" s="18"/>
      <c r="P47" s="36"/>
      <c r="Q47" s="36"/>
      <c r="R47" s="36"/>
      <c r="S47" s="36"/>
    </row>
    <row r="48" spans="1:19" ht="72.75">
      <c r="A48" s="35">
        <f t="shared" si="0"/>
        <v>46</v>
      </c>
      <c r="B48" s="25" t="s">
        <v>344</v>
      </c>
      <c r="C48" s="88" t="s">
        <v>66</v>
      </c>
      <c r="D48" s="27" t="s">
        <v>315</v>
      </c>
      <c r="E48" s="27" t="s">
        <v>345</v>
      </c>
      <c r="F48" s="27" t="s">
        <v>346</v>
      </c>
      <c r="G48" s="27" t="s">
        <v>336</v>
      </c>
      <c r="H48" s="27" t="s">
        <v>347</v>
      </c>
      <c r="I48" s="27" t="s">
        <v>348</v>
      </c>
      <c r="J48" s="27"/>
      <c r="K48" s="27"/>
      <c r="L48" s="27"/>
      <c r="M48" s="27"/>
      <c r="N48" s="28"/>
      <c r="O48" s="27"/>
      <c r="P48" s="37"/>
      <c r="Q48" s="37"/>
      <c r="R48" s="37"/>
      <c r="S48" s="37"/>
    </row>
    <row r="49" spans="1:19" ht="87">
      <c r="A49" s="36">
        <f t="shared" si="0"/>
        <v>47</v>
      </c>
      <c r="B49" s="90" t="s">
        <v>349</v>
      </c>
      <c r="C49" s="18" t="s">
        <v>66</v>
      </c>
      <c r="D49" s="18" t="s">
        <v>315</v>
      </c>
      <c r="E49" s="18" t="s">
        <v>350</v>
      </c>
      <c r="F49" s="18" t="s">
        <v>351</v>
      </c>
      <c r="G49" s="18" t="s">
        <v>352</v>
      </c>
      <c r="H49" s="18" t="s">
        <v>353</v>
      </c>
      <c r="I49" s="18" t="s">
        <v>354</v>
      </c>
      <c r="J49" s="18"/>
      <c r="K49" s="18"/>
      <c r="L49" s="18"/>
      <c r="M49" s="18"/>
      <c r="N49" s="18"/>
      <c r="O49" s="18"/>
      <c r="P49" s="18"/>
      <c r="Q49" s="18"/>
      <c r="R49" s="18"/>
      <c r="S49" s="18"/>
    </row>
  </sheetData>
  <mergeCells count="1">
    <mergeCell ref="A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7F06-1D8E-4D9D-A048-D81216D0E89A}">
  <dimension ref="A1:S25"/>
  <sheetViews>
    <sheetView topLeftCell="A13" workbookViewId="0">
      <selection activeCell="S24" sqref="S24"/>
    </sheetView>
  </sheetViews>
  <sheetFormatPr defaultRowHeight="15" customHeight="1"/>
  <cols>
    <col min="4" max="4" width="13" customWidth="1"/>
    <col min="5" max="5" width="17.5703125" customWidth="1"/>
    <col min="6" max="6" width="21.5703125" customWidth="1"/>
    <col min="7" max="7" width="25.85546875" customWidth="1"/>
    <col min="8" max="8" width="43.42578125" bestFit="1" customWidth="1"/>
    <col min="9" max="9" width="44.85546875" customWidth="1"/>
    <col min="10" max="10" width="39.5703125" customWidth="1"/>
    <col min="11" max="11" width="14.7109375" customWidth="1"/>
    <col min="13" max="13" width="10.85546875" customWidth="1"/>
    <col min="14" max="14" width="23.140625" customWidth="1"/>
    <col min="15" max="15" width="18.5703125" customWidth="1"/>
    <col min="16" max="17" width="18.140625" customWidth="1"/>
    <col min="18" max="18" width="18.42578125" customWidth="1"/>
    <col min="19" max="19" width="18.140625" customWidth="1"/>
  </cols>
  <sheetData>
    <row r="1" spans="1:19" ht="57" customHeight="1">
      <c r="A1" s="1" t="s">
        <v>355</v>
      </c>
      <c r="B1" s="2" t="s">
        <v>49</v>
      </c>
      <c r="C1" s="2" t="s">
        <v>50</v>
      </c>
      <c r="D1" s="2" t="s">
        <v>356</v>
      </c>
      <c r="E1" s="2" t="s">
        <v>16</v>
      </c>
      <c r="F1" s="2" t="s">
        <v>52</v>
      </c>
      <c r="G1" s="2" t="s">
        <v>53</v>
      </c>
      <c r="H1" s="2" t="s">
        <v>54</v>
      </c>
      <c r="I1" s="2" t="s">
        <v>55</v>
      </c>
      <c r="J1" s="2" t="s">
        <v>56</v>
      </c>
      <c r="K1" s="2" t="s">
        <v>57</v>
      </c>
      <c r="L1" s="2" t="s">
        <v>58</v>
      </c>
      <c r="M1" s="2" t="s">
        <v>59</v>
      </c>
      <c r="N1" s="2" t="s">
        <v>60</v>
      </c>
      <c r="O1" s="2" t="s">
        <v>61</v>
      </c>
      <c r="P1" s="2" t="s">
        <v>62</v>
      </c>
      <c r="Q1" s="2" t="s">
        <v>63</v>
      </c>
      <c r="R1" s="2" t="s">
        <v>64</v>
      </c>
      <c r="S1" s="2" t="s">
        <v>46</v>
      </c>
    </row>
    <row r="2" spans="1:19" ht="57.75">
      <c r="A2" s="3">
        <v>1</v>
      </c>
      <c r="B2" s="4" t="s">
        <v>357</v>
      </c>
      <c r="C2" s="4" t="s">
        <v>120</v>
      </c>
      <c r="D2" s="4" t="s">
        <v>358</v>
      </c>
      <c r="E2" s="4" t="s">
        <v>121</v>
      </c>
      <c r="F2" s="4" t="s">
        <v>359</v>
      </c>
      <c r="G2" s="4" t="s">
        <v>360</v>
      </c>
      <c r="H2" s="4" t="s">
        <v>361</v>
      </c>
      <c r="I2" s="4" t="s">
        <v>362</v>
      </c>
      <c r="J2" s="4"/>
      <c r="K2" s="4"/>
      <c r="L2" s="4"/>
      <c r="M2" s="4"/>
    </row>
    <row r="3" spans="1:19" ht="57.75">
      <c r="A3" s="3">
        <f>1+A2</f>
        <v>2</v>
      </c>
      <c r="B3" s="4" t="s">
        <v>363</v>
      </c>
      <c r="C3" s="4" t="s">
        <v>120</v>
      </c>
      <c r="D3" s="4"/>
      <c r="E3" s="4" t="s">
        <v>127</v>
      </c>
      <c r="F3" s="4" t="s">
        <v>364</v>
      </c>
      <c r="G3" s="4" t="s">
        <v>129</v>
      </c>
      <c r="H3" s="4" t="s">
        <v>365</v>
      </c>
      <c r="I3" s="4" t="s">
        <v>366</v>
      </c>
      <c r="J3" s="4"/>
      <c r="K3" s="4"/>
      <c r="L3" s="4"/>
      <c r="M3" s="4"/>
    </row>
    <row r="4" spans="1:19" ht="43.5">
      <c r="A4" s="3">
        <f t="shared" ref="A4:A25" si="0">1+A3</f>
        <v>3</v>
      </c>
      <c r="B4" s="4" t="s">
        <v>367</v>
      </c>
      <c r="C4" s="4" t="s">
        <v>120</v>
      </c>
      <c r="D4" s="4"/>
      <c r="E4" s="4" t="s">
        <v>133</v>
      </c>
      <c r="F4" s="4" t="s">
        <v>368</v>
      </c>
      <c r="G4" s="4" t="s">
        <v>135</v>
      </c>
      <c r="H4" s="4" t="s">
        <v>369</v>
      </c>
      <c r="I4" s="4" t="s">
        <v>370</v>
      </c>
      <c r="J4" s="4"/>
      <c r="K4" s="4"/>
      <c r="L4" s="4"/>
      <c r="M4" s="4"/>
    </row>
    <row r="5" spans="1:19" ht="43.5">
      <c r="A5" s="3">
        <f t="shared" si="0"/>
        <v>4</v>
      </c>
      <c r="B5" s="4" t="s">
        <v>371</v>
      </c>
      <c r="C5" s="4" t="s">
        <v>120</v>
      </c>
      <c r="D5" s="4"/>
      <c r="E5" s="4" t="s">
        <v>139</v>
      </c>
      <c r="F5" s="4" t="s">
        <v>372</v>
      </c>
      <c r="G5" s="4" t="s">
        <v>141</v>
      </c>
      <c r="H5" s="4" t="s">
        <v>373</v>
      </c>
      <c r="I5" s="4" t="s">
        <v>374</v>
      </c>
      <c r="J5" s="4"/>
      <c r="K5" s="4"/>
      <c r="L5" s="4"/>
      <c r="M5" s="4"/>
    </row>
    <row r="6" spans="1:19" ht="43.5">
      <c r="A6" s="3">
        <f t="shared" si="0"/>
        <v>5</v>
      </c>
      <c r="B6" s="4" t="s">
        <v>375</v>
      </c>
      <c r="C6" s="4" t="s">
        <v>120</v>
      </c>
      <c r="D6" s="4"/>
      <c r="E6" s="4" t="s">
        <v>145</v>
      </c>
      <c r="F6" s="4" t="s">
        <v>376</v>
      </c>
      <c r="G6" s="4" t="s">
        <v>147</v>
      </c>
      <c r="H6" s="4" t="s">
        <v>377</v>
      </c>
      <c r="I6" s="4" t="s">
        <v>378</v>
      </c>
      <c r="J6" s="4"/>
      <c r="K6" s="4"/>
      <c r="L6" s="4"/>
      <c r="M6" s="4"/>
    </row>
    <row r="7" spans="1:19" ht="43.5">
      <c r="A7" s="3">
        <f t="shared" si="0"/>
        <v>6</v>
      </c>
      <c r="B7" s="4" t="s">
        <v>379</v>
      </c>
      <c r="C7" s="4" t="s">
        <v>120</v>
      </c>
      <c r="D7" s="4"/>
      <c r="E7" s="4" t="s">
        <v>151</v>
      </c>
      <c r="F7" s="4" t="s">
        <v>380</v>
      </c>
      <c r="G7" s="4" t="s">
        <v>153</v>
      </c>
      <c r="H7" s="4" t="s">
        <v>381</v>
      </c>
      <c r="I7" s="4" t="s">
        <v>382</v>
      </c>
      <c r="J7" s="4"/>
      <c r="K7" s="4"/>
      <c r="L7" s="4"/>
      <c r="M7" s="4"/>
    </row>
    <row r="8" spans="1:19" ht="43.5">
      <c r="A8" s="3">
        <f t="shared" si="0"/>
        <v>7</v>
      </c>
      <c r="B8" s="4" t="s">
        <v>383</v>
      </c>
      <c r="C8" s="4" t="s">
        <v>120</v>
      </c>
      <c r="D8" s="4"/>
      <c r="E8" s="4" t="s">
        <v>157</v>
      </c>
      <c r="F8" s="4" t="s">
        <v>384</v>
      </c>
      <c r="G8" s="4" t="s">
        <v>159</v>
      </c>
      <c r="H8" s="4" t="s">
        <v>385</v>
      </c>
      <c r="I8" s="4" t="s">
        <v>386</v>
      </c>
      <c r="J8" s="4"/>
      <c r="K8" s="4"/>
      <c r="L8" s="4"/>
      <c r="M8" s="4"/>
    </row>
    <row r="9" spans="1:19" ht="43.5">
      <c r="A9" s="3">
        <f t="shared" si="0"/>
        <v>8</v>
      </c>
      <c r="B9" s="4" t="s">
        <v>387</v>
      </c>
      <c r="C9" s="4" t="s">
        <v>120</v>
      </c>
      <c r="D9" s="4"/>
      <c r="E9" s="4" t="s">
        <v>163</v>
      </c>
      <c r="F9" s="4" t="s">
        <v>388</v>
      </c>
      <c r="G9" s="4" t="s">
        <v>165</v>
      </c>
      <c r="H9" s="4" t="s">
        <v>389</v>
      </c>
      <c r="I9" s="4" t="s">
        <v>390</v>
      </c>
      <c r="J9" s="4"/>
      <c r="K9" s="4"/>
      <c r="L9" s="4"/>
      <c r="M9" s="4"/>
    </row>
    <row r="10" spans="1:19" ht="57.75">
      <c r="A10" s="3">
        <f t="shared" si="0"/>
        <v>9</v>
      </c>
      <c r="B10" s="4" t="s">
        <v>391</v>
      </c>
      <c r="C10" s="4" t="s">
        <v>120</v>
      </c>
      <c r="D10" s="4"/>
      <c r="E10" s="4" t="s">
        <v>121</v>
      </c>
      <c r="F10" s="4" t="s">
        <v>359</v>
      </c>
      <c r="G10" s="4" t="s">
        <v>392</v>
      </c>
      <c r="H10" s="4" t="s">
        <v>361</v>
      </c>
      <c r="I10" s="4" t="s">
        <v>393</v>
      </c>
      <c r="J10" s="4"/>
      <c r="K10" s="4"/>
      <c r="L10" s="4"/>
      <c r="M10" s="4"/>
    </row>
    <row r="11" spans="1:19" ht="57.75">
      <c r="A11" s="3">
        <f t="shared" si="0"/>
        <v>10</v>
      </c>
      <c r="B11" s="4" t="s">
        <v>394</v>
      </c>
      <c r="C11" s="4" t="s">
        <v>120</v>
      </c>
      <c r="D11" s="4"/>
      <c r="E11" s="4" t="s">
        <v>127</v>
      </c>
      <c r="F11" s="4" t="s">
        <v>364</v>
      </c>
      <c r="G11" s="4" t="s">
        <v>129</v>
      </c>
      <c r="H11" s="4" t="s">
        <v>365</v>
      </c>
      <c r="I11" s="4" t="s">
        <v>395</v>
      </c>
      <c r="J11" s="4"/>
      <c r="K11" s="4"/>
      <c r="L11" s="4"/>
      <c r="M11" s="4"/>
    </row>
    <row r="12" spans="1:19" ht="43.5">
      <c r="A12" s="3">
        <f t="shared" si="0"/>
        <v>11</v>
      </c>
      <c r="B12" s="4" t="s">
        <v>396</v>
      </c>
      <c r="C12" s="4" t="s">
        <v>120</v>
      </c>
      <c r="D12" s="4"/>
      <c r="E12" s="4" t="s">
        <v>133</v>
      </c>
      <c r="F12" s="4" t="s">
        <v>368</v>
      </c>
      <c r="G12" s="4" t="s">
        <v>135</v>
      </c>
      <c r="H12" s="4" t="s">
        <v>369</v>
      </c>
      <c r="I12" s="4" t="s">
        <v>397</v>
      </c>
      <c r="J12" s="4"/>
      <c r="K12" s="4"/>
      <c r="L12" s="4"/>
      <c r="M12" s="4"/>
    </row>
    <row r="13" spans="1:19" ht="43.5">
      <c r="A13" s="3">
        <f t="shared" si="0"/>
        <v>12</v>
      </c>
      <c r="B13" s="4" t="s">
        <v>398</v>
      </c>
      <c r="C13" s="4" t="s">
        <v>120</v>
      </c>
      <c r="D13" s="4"/>
      <c r="E13" s="4" t="s">
        <v>139</v>
      </c>
      <c r="F13" s="4" t="s">
        <v>372</v>
      </c>
      <c r="G13" s="4" t="s">
        <v>141</v>
      </c>
      <c r="H13" s="4" t="s">
        <v>373</v>
      </c>
      <c r="I13" s="4" t="s">
        <v>399</v>
      </c>
      <c r="J13" s="4"/>
      <c r="K13" s="4"/>
      <c r="L13" s="4"/>
      <c r="M13" s="4"/>
    </row>
    <row r="14" spans="1:19" ht="43.5">
      <c r="A14" s="3">
        <f t="shared" si="0"/>
        <v>13</v>
      </c>
      <c r="B14" s="4" t="s">
        <v>400</v>
      </c>
      <c r="C14" s="4" t="s">
        <v>120</v>
      </c>
      <c r="D14" s="4"/>
      <c r="E14" s="4" t="s">
        <v>145</v>
      </c>
      <c r="F14" s="4" t="s">
        <v>376</v>
      </c>
      <c r="G14" s="4" t="s">
        <v>147</v>
      </c>
      <c r="H14" s="4" t="s">
        <v>401</v>
      </c>
      <c r="I14" s="4" t="s">
        <v>402</v>
      </c>
      <c r="J14" s="4"/>
      <c r="K14" s="4"/>
      <c r="L14" s="4"/>
      <c r="M14" s="4"/>
    </row>
    <row r="15" spans="1:19" ht="43.5">
      <c r="A15" s="3">
        <f t="shared" si="0"/>
        <v>14</v>
      </c>
      <c r="B15" s="4" t="s">
        <v>403</v>
      </c>
      <c r="C15" s="4" t="s">
        <v>120</v>
      </c>
      <c r="D15" s="4"/>
      <c r="E15" s="4" t="s">
        <v>151</v>
      </c>
      <c r="F15" s="4" t="s">
        <v>380</v>
      </c>
      <c r="G15" s="4" t="s">
        <v>153</v>
      </c>
      <c r="H15" s="4" t="s">
        <v>381</v>
      </c>
      <c r="I15" s="4" t="s">
        <v>404</v>
      </c>
      <c r="J15" s="4"/>
      <c r="K15" s="4"/>
      <c r="L15" s="4"/>
      <c r="M15" s="4"/>
    </row>
    <row r="16" spans="1:19" ht="43.5">
      <c r="A16" s="3">
        <f t="shared" si="0"/>
        <v>15</v>
      </c>
      <c r="B16" s="4" t="s">
        <v>405</v>
      </c>
      <c r="C16" s="4" t="s">
        <v>120</v>
      </c>
      <c r="D16" s="4"/>
      <c r="E16" s="4" t="s">
        <v>157</v>
      </c>
      <c r="F16" s="4" t="s">
        <v>384</v>
      </c>
      <c r="G16" s="4" t="s">
        <v>159</v>
      </c>
      <c r="H16" s="4" t="s">
        <v>385</v>
      </c>
      <c r="I16" s="4" t="s">
        <v>406</v>
      </c>
      <c r="J16" s="4"/>
      <c r="K16" s="4"/>
      <c r="L16" s="4"/>
      <c r="M16" s="4"/>
    </row>
    <row r="17" spans="1:13" ht="43.5">
      <c r="A17" s="3">
        <f t="shared" si="0"/>
        <v>16</v>
      </c>
      <c r="B17" s="4" t="s">
        <v>407</v>
      </c>
      <c r="C17" s="4" t="s">
        <v>120</v>
      </c>
      <c r="D17" s="4"/>
      <c r="E17" s="4" t="s">
        <v>163</v>
      </c>
      <c r="F17" s="4" t="s">
        <v>388</v>
      </c>
      <c r="G17" s="4" t="s">
        <v>165</v>
      </c>
      <c r="H17" s="4" t="s">
        <v>408</v>
      </c>
      <c r="I17" s="4" t="s">
        <v>409</v>
      </c>
      <c r="J17" s="4"/>
      <c r="K17" s="4"/>
      <c r="L17" s="4"/>
      <c r="M17" s="4"/>
    </row>
    <row r="18" spans="1:13" ht="57.75">
      <c r="A18" s="3">
        <f t="shared" si="0"/>
        <v>17</v>
      </c>
      <c r="B18" s="4" t="s">
        <v>410</v>
      </c>
      <c r="C18" s="4" t="s">
        <v>120</v>
      </c>
      <c r="D18" s="4"/>
      <c r="E18" s="4" t="s">
        <v>121</v>
      </c>
      <c r="F18" s="4" t="s">
        <v>359</v>
      </c>
      <c r="G18" s="4" t="s">
        <v>411</v>
      </c>
      <c r="H18" s="4" t="s">
        <v>361</v>
      </c>
      <c r="I18" s="4" t="s">
        <v>412</v>
      </c>
      <c r="J18" s="4"/>
      <c r="K18" s="4"/>
      <c r="L18" s="4"/>
      <c r="M18" s="4"/>
    </row>
    <row r="19" spans="1:13" ht="57.75">
      <c r="A19" s="3">
        <f t="shared" si="0"/>
        <v>18</v>
      </c>
      <c r="B19" s="4" t="s">
        <v>413</v>
      </c>
      <c r="C19" s="4" t="s">
        <v>120</v>
      </c>
      <c r="D19" s="4"/>
      <c r="E19" s="4" t="s">
        <v>127</v>
      </c>
      <c r="F19" s="4" t="s">
        <v>364</v>
      </c>
      <c r="G19" s="4" t="s">
        <v>129</v>
      </c>
      <c r="H19" s="4" t="s">
        <v>365</v>
      </c>
      <c r="I19" s="4" t="s">
        <v>414</v>
      </c>
      <c r="J19" s="4"/>
      <c r="K19" s="4"/>
      <c r="L19" s="4"/>
      <c r="M19" s="4"/>
    </row>
    <row r="20" spans="1:13" ht="43.5">
      <c r="A20" s="3">
        <f t="shared" si="0"/>
        <v>19</v>
      </c>
      <c r="B20" s="4" t="s">
        <v>415</v>
      </c>
      <c r="C20" s="4" t="s">
        <v>120</v>
      </c>
      <c r="D20" s="4"/>
      <c r="E20" s="4" t="s">
        <v>133</v>
      </c>
      <c r="F20" s="4" t="s">
        <v>368</v>
      </c>
      <c r="G20" s="4" t="s">
        <v>135</v>
      </c>
      <c r="H20" s="4" t="s">
        <v>369</v>
      </c>
      <c r="I20" s="4" t="s">
        <v>416</v>
      </c>
      <c r="J20" s="4"/>
      <c r="K20" s="4"/>
      <c r="L20" s="4"/>
      <c r="M20" s="4"/>
    </row>
    <row r="21" spans="1:13" ht="43.5">
      <c r="A21" s="3">
        <f t="shared" si="0"/>
        <v>20</v>
      </c>
      <c r="B21" s="4" t="s">
        <v>417</v>
      </c>
      <c r="C21" s="4" t="s">
        <v>120</v>
      </c>
      <c r="D21" s="4"/>
      <c r="E21" s="4" t="s">
        <v>139</v>
      </c>
      <c r="F21" s="4" t="s">
        <v>372</v>
      </c>
      <c r="G21" s="4" t="s">
        <v>141</v>
      </c>
      <c r="H21" s="4" t="s">
        <v>373</v>
      </c>
      <c r="I21" s="4" t="s">
        <v>418</v>
      </c>
      <c r="J21" s="4"/>
      <c r="K21" s="4"/>
      <c r="L21" s="4"/>
      <c r="M21" s="4"/>
    </row>
    <row r="22" spans="1:13" ht="43.5">
      <c r="A22" s="3">
        <f t="shared" si="0"/>
        <v>21</v>
      </c>
      <c r="B22" s="4" t="s">
        <v>419</v>
      </c>
      <c r="C22" s="4" t="s">
        <v>120</v>
      </c>
      <c r="D22" s="4"/>
      <c r="E22" s="4" t="s">
        <v>145</v>
      </c>
      <c r="F22" s="4" t="s">
        <v>376</v>
      </c>
      <c r="G22" s="4" t="s">
        <v>147</v>
      </c>
      <c r="H22" s="4" t="s">
        <v>377</v>
      </c>
      <c r="I22" s="4" t="s">
        <v>420</v>
      </c>
      <c r="J22" s="4"/>
      <c r="K22" s="4"/>
      <c r="L22" s="4"/>
      <c r="M22" s="4"/>
    </row>
    <row r="23" spans="1:13" ht="43.5">
      <c r="A23" s="3">
        <f t="shared" si="0"/>
        <v>22</v>
      </c>
      <c r="B23" s="4" t="s">
        <v>421</v>
      </c>
      <c r="C23" s="4" t="s">
        <v>120</v>
      </c>
      <c r="D23" s="4"/>
      <c r="E23" s="4" t="s">
        <v>151</v>
      </c>
      <c r="F23" s="4" t="s">
        <v>380</v>
      </c>
      <c r="G23" s="4" t="s">
        <v>153</v>
      </c>
      <c r="H23" s="4" t="s">
        <v>381</v>
      </c>
      <c r="I23" s="4" t="s">
        <v>422</v>
      </c>
      <c r="J23" s="4"/>
      <c r="K23" s="4"/>
      <c r="L23" s="4"/>
      <c r="M23" s="4"/>
    </row>
    <row r="24" spans="1:13" ht="43.5">
      <c r="A24" s="3">
        <f t="shared" si="0"/>
        <v>23</v>
      </c>
      <c r="B24" s="4" t="s">
        <v>423</v>
      </c>
      <c r="C24" s="4" t="s">
        <v>120</v>
      </c>
      <c r="D24" s="4"/>
      <c r="E24" s="4" t="s">
        <v>157</v>
      </c>
      <c r="F24" s="4" t="s">
        <v>384</v>
      </c>
      <c r="G24" s="4" t="s">
        <v>159</v>
      </c>
      <c r="H24" s="4" t="s">
        <v>385</v>
      </c>
      <c r="I24" s="4" t="s">
        <v>424</v>
      </c>
      <c r="J24" s="4"/>
      <c r="K24" s="4"/>
      <c r="L24" s="4"/>
      <c r="M24" s="4"/>
    </row>
    <row r="25" spans="1:13" ht="43.5">
      <c r="A25" s="3">
        <f t="shared" si="0"/>
        <v>24</v>
      </c>
      <c r="B25" s="4" t="s">
        <v>425</v>
      </c>
      <c r="C25" s="4" t="s">
        <v>120</v>
      </c>
      <c r="D25" s="4"/>
      <c r="E25" s="4" t="s">
        <v>163</v>
      </c>
      <c r="F25" s="4" t="s">
        <v>388</v>
      </c>
      <c r="G25" s="4" t="s">
        <v>165</v>
      </c>
      <c r="H25" s="4" t="s">
        <v>389</v>
      </c>
      <c r="I25" s="4" t="s">
        <v>426</v>
      </c>
      <c r="J25" s="4"/>
      <c r="K25" s="4"/>
      <c r="L25" s="4"/>
      <c r="M25"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11E0-8F27-4CB3-9831-AA60A4384693}">
  <dimension ref="A1:S48"/>
  <sheetViews>
    <sheetView workbookViewId="0">
      <pane xSplit="1" ySplit="1" topLeftCell="B2" activePane="bottomRight" state="frozen"/>
      <selection pane="bottomRight" activeCell="F31" sqref="F31"/>
      <selection pane="bottomLeft"/>
      <selection pane="topRight"/>
    </sheetView>
  </sheetViews>
  <sheetFormatPr defaultRowHeight="15"/>
  <cols>
    <col min="2" max="2" width="13.7109375" customWidth="1"/>
    <col min="3" max="3" width="11.85546875" customWidth="1"/>
    <col min="4" max="4" width="16.28515625" customWidth="1"/>
    <col min="5" max="5" width="22.140625" customWidth="1"/>
    <col min="6" max="6" width="23.42578125" customWidth="1"/>
    <col min="7" max="7" width="24.42578125" customWidth="1"/>
    <col min="8" max="8" width="46" customWidth="1"/>
    <col min="9" max="9" width="24" customWidth="1"/>
    <col min="10" max="10" width="15.28515625" customWidth="1"/>
    <col min="11" max="11" width="15.85546875" customWidth="1"/>
    <col min="12" max="12" width="17.7109375" customWidth="1"/>
    <col min="13" max="13" width="24.85546875" customWidth="1"/>
    <col min="14" max="14" width="23.28515625" customWidth="1"/>
    <col min="15" max="15" width="19.28515625" customWidth="1"/>
    <col min="16" max="16" width="18" customWidth="1"/>
    <col min="17" max="17" width="17.42578125" customWidth="1"/>
    <col min="18" max="18" width="21" customWidth="1"/>
    <col min="19" max="19" width="18.28515625" customWidth="1"/>
  </cols>
  <sheetData>
    <row r="1" spans="1:19" ht="57.75" customHeight="1">
      <c r="A1" s="1" t="s">
        <v>48</v>
      </c>
      <c r="B1" s="2" t="s">
        <v>49</v>
      </c>
      <c r="C1" s="2" t="s">
        <v>50</v>
      </c>
      <c r="D1" s="2" t="s">
        <v>427</v>
      </c>
      <c r="E1" s="2" t="s">
        <v>16</v>
      </c>
      <c r="F1" s="2" t="s">
        <v>52</v>
      </c>
      <c r="G1" s="2" t="s">
        <v>53</v>
      </c>
      <c r="H1" s="2" t="s">
        <v>54</v>
      </c>
      <c r="I1" s="2" t="s">
        <v>55</v>
      </c>
      <c r="J1" s="2" t="s">
        <v>56</v>
      </c>
      <c r="K1" s="2" t="s">
        <v>57</v>
      </c>
      <c r="L1" s="2" t="s">
        <v>58</v>
      </c>
      <c r="M1" s="2" t="s">
        <v>59</v>
      </c>
      <c r="N1" s="2" t="s">
        <v>60</v>
      </c>
      <c r="O1" s="2" t="s">
        <v>61</v>
      </c>
      <c r="P1" s="2" t="s">
        <v>62</v>
      </c>
      <c r="Q1" s="2" t="s">
        <v>63</v>
      </c>
      <c r="R1" s="2" t="s">
        <v>64</v>
      </c>
      <c r="S1" s="2" t="s">
        <v>46</v>
      </c>
    </row>
    <row r="2" spans="1:19" ht="72.75">
      <c r="A2" s="3">
        <v>1</v>
      </c>
      <c r="B2" s="6" t="s">
        <v>428</v>
      </c>
      <c r="C2" s="4" t="s">
        <v>429</v>
      </c>
      <c r="D2" s="4" t="s">
        <v>430</v>
      </c>
      <c r="E2" s="4" t="s">
        <v>431</v>
      </c>
      <c r="F2" s="4" t="s">
        <v>432</v>
      </c>
      <c r="G2" s="4" t="s">
        <v>433</v>
      </c>
      <c r="H2" s="4" t="s">
        <v>434</v>
      </c>
      <c r="I2" s="4" t="s">
        <v>435</v>
      </c>
      <c r="J2" s="4"/>
      <c r="K2" s="4"/>
      <c r="L2" s="4"/>
      <c r="M2" s="4"/>
    </row>
    <row r="3" spans="1:19" ht="87">
      <c r="A3" s="3">
        <f>1+A2</f>
        <v>2</v>
      </c>
      <c r="B3" s="6" t="s">
        <v>436</v>
      </c>
      <c r="C3" s="4" t="s">
        <v>429</v>
      </c>
      <c r="D3" s="4" t="s">
        <v>430</v>
      </c>
      <c r="E3" s="4" t="s">
        <v>437</v>
      </c>
      <c r="F3" s="4" t="s">
        <v>438</v>
      </c>
      <c r="G3" s="4" t="s">
        <v>439</v>
      </c>
      <c r="H3" s="4" t="s">
        <v>440</v>
      </c>
      <c r="I3" s="4" t="s">
        <v>441</v>
      </c>
      <c r="J3" s="4"/>
      <c r="K3" s="4"/>
      <c r="L3" s="4"/>
      <c r="M3" s="4"/>
    </row>
    <row r="4" spans="1:19" ht="87">
      <c r="A4" s="3">
        <f t="shared" ref="A4:A37" si="0">1+A3</f>
        <v>3</v>
      </c>
      <c r="B4" s="6" t="s">
        <v>442</v>
      </c>
      <c r="C4" s="4" t="s">
        <v>429</v>
      </c>
      <c r="D4" s="4" t="s">
        <v>430</v>
      </c>
      <c r="E4" s="16" t="s">
        <v>443</v>
      </c>
      <c r="F4" s="4" t="s">
        <v>444</v>
      </c>
      <c r="G4" s="4" t="s">
        <v>445</v>
      </c>
      <c r="H4" s="4" t="s">
        <v>446</v>
      </c>
      <c r="I4" s="4" t="s">
        <v>447</v>
      </c>
      <c r="J4" s="4"/>
      <c r="K4" s="4"/>
      <c r="L4" s="4"/>
      <c r="M4" s="4"/>
    </row>
    <row r="5" spans="1:19" ht="57.75">
      <c r="A5" s="39">
        <f t="shared" si="0"/>
        <v>4</v>
      </c>
      <c r="B5" s="19" t="s">
        <v>448</v>
      </c>
      <c r="C5" s="29" t="s">
        <v>429</v>
      </c>
      <c r="D5" s="19" t="s">
        <v>449</v>
      </c>
      <c r="E5" s="18" t="s">
        <v>450</v>
      </c>
      <c r="F5" s="19" t="s">
        <v>451</v>
      </c>
      <c r="G5" s="19" t="s">
        <v>439</v>
      </c>
      <c r="H5" s="38" t="s">
        <v>452</v>
      </c>
      <c r="I5" s="19" t="s">
        <v>453</v>
      </c>
      <c r="J5" s="31"/>
      <c r="K5" s="31"/>
      <c r="L5" s="31"/>
      <c r="M5" s="29"/>
      <c r="O5" s="9"/>
    </row>
    <row r="6" spans="1:19" ht="87">
      <c r="A6" s="3">
        <f t="shared" si="0"/>
        <v>5</v>
      </c>
      <c r="B6" s="6" t="s">
        <v>454</v>
      </c>
      <c r="C6" s="4" t="s">
        <v>429</v>
      </c>
      <c r="D6" s="4" t="s">
        <v>430</v>
      </c>
      <c r="E6" s="53" t="s">
        <v>455</v>
      </c>
      <c r="F6" s="4" t="s">
        <v>456</v>
      </c>
      <c r="G6" s="4" t="s">
        <v>457</v>
      </c>
      <c r="H6" s="4" t="s">
        <v>458</v>
      </c>
      <c r="I6" s="4" t="s">
        <v>459</v>
      </c>
      <c r="J6" s="4"/>
      <c r="K6" s="4"/>
      <c r="L6" s="4"/>
      <c r="M6" s="4"/>
    </row>
    <row r="7" spans="1:19" ht="72.75">
      <c r="A7" s="3">
        <f t="shared" si="0"/>
        <v>6</v>
      </c>
      <c r="B7" s="6" t="s">
        <v>460</v>
      </c>
      <c r="C7" s="4" t="s">
        <v>429</v>
      </c>
      <c r="D7" s="4" t="s">
        <v>430</v>
      </c>
      <c r="E7" s="4" t="s">
        <v>461</v>
      </c>
      <c r="F7" s="4" t="s">
        <v>462</v>
      </c>
      <c r="G7" s="4" t="s">
        <v>463</v>
      </c>
      <c r="H7" s="4" t="s">
        <v>464</v>
      </c>
      <c r="I7" s="4" t="s">
        <v>465</v>
      </c>
      <c r="J7" s="4"/>
      <c r="K7" s="4"/>
      <c r="L7" s="4"/>
      <c r="M7" s="4"/>
    </row>
    <row r="8" spans="1:19" ht="72.75">
      <c r="A8" s="3">
        <f t="shared" si="0"/>
        <v>7</v>
      </c>
      <c r="B8" s="6" t="s">
        <v>466</v>
      </c>
      <c r="C8" s="4" t="s">
        <v>429</v>
      </c>
      <c r="D8" s="4" t="s">
        <v>430</v>
      </c>
      <c r="E8" s="4" t="s">
        <v>467</v>
      </c>
      <c r="F8" s="4" t="s">
        <v>468</v>
      </c>
      <c r="G8" s="4" t="s">
        <v>469</v>
      </c>
      <c r="H8" s="4" t="s">
        <v>470</v>
      </c>
      <c r="I8" s="4" t="s">
        <v>471</v>
      </c>
      <c r="J8" s="4"/>
      <c r="K8" s="4"/>
      <c r="L8" s="4"/>
      <c r="M8" s="4"/>
    </row>
    <row r="9" spans="1:19" ht="72.75">
      <c r="A9" s="3">
        <f t="shared" si="0"/>
        <v>8</v>
      </c>
      <c r="B9" s="6" t="s">
        <v>472</v>
      </c>
      <c r="C9" s="4" t="s">
        <v>429</v>
      </c>
      <c r="D9" s="4" t="s">
        <v>430</v>
      </c>
      <c r="E9" s="4" t="s">
        <v>473</v>
      </c>
      <c r="F9" s="4" t="s">
        <v>474</v>
      </c>
      <c r="G9" s="4" t="s">
        <v>475</v>
      </c>
      <c r="H9" s="4" t="s">
        <v>476</v>
      </c>
      <c r="I9" s="4" t="s">
        <v>477</v>
      </c>
      <c r="J9" s="4"/>
      <c r="K9" s="4"/>
      <c r="L9" s="4"/>
      <c r="M9" s="4"/>
    </row>
    <row r="10" spans="1:19" ht="72.75">
      <c r="A10" s="3">
        <f t="shared" si="0"/>
        <v>9</v>
      </c>
      <c r="B10" s="6" t="s">
        <v>478</v>
      </c>
      <c r="C10" s="4" t="s">
        <v>429</v>
      </c>
      <c r="D10" s="4" t="s">
        <v>449</v>
      </c>
      <c r="E10" s="4" t="s">
        <v>479</v>
      </c>
      <c r="F10" s="4" t="s">
        <v>480</v>
      </c>
      <c r="G10" s="4" t="s">
        <v>481</v>
      </c>
      <c r="H10" s="4" t="s">
        <v>482</v>
      </c>
      <c r="I10" s="4" t="s">
        <v>483</v>
      </c>
      <c r="J10" s="4"/>
      <c r="K10" s="4"/>
      <c r="L10" s="4"/>
      <c r="M10" s="4"/>
    </row>
    <row r="11" spans="1:19" ht="72.75">
      <c r="A11" s="3">
        <f t="shared" si="0"/>
        <v>10</v>
      </c>
      <c r="B11" s="6" t="s">
        <v>484</v>
      </c>
      <c r="C11" s="4" t="s">
        <v>429</v>
      </c>
      <c r="D11" s="4" t="s">
        <v>449</v>
      </c>
      <c r="E11" s="4" t="s">
        <v>485</v>
      </c>
      <c r="F11" s="4" t="s">
        <v>486</v>
      </c>
      <c r="G11" s="4" t="s">
        <v>487</v>
      </c>
      <c r="H11" s="4" t="s">
        <v>488</v>
      </c>
      <c r="I11" s="4" t="s">
        <v>489</v>
      </c>
      <c r="J11" s="4"/>
      <c r="K11" s="4"/>
      <c r="L11" s="4"/>
      <c r="M11" s="4"/>
    </row>
    <row r="12" spans="1:19" ht="72.75">
      <c r="A12" s="3">
        <f t="shared" si="0"/>
        <v>11</v>
      </c>
      <c r="B12" s="6" t="s">
        <v>490</v>
      </c>
      <c r="C12" s="4" t="s">
        <v>429</v>
      </c>
      <c r="D12" s="4" t="s">
        <v>430</v>
      </c>
      <c r="E12" s="4" t="s">
        <v>491</v>
      </c>
      <c r="F12" s="4" t="s">
        <v>492</v>
      </c>
      <c r="G12" s="4" t="s">
        <v>481</v>
      </c>
      <c r="H12" s="4" t="s">
        <v>493</v>
      </c>
      <c r="I12" s="4" t="s">
        <v>494</v>
      </c>
      <c r="J12" s="7"/>
      <c r="K12" s="7"/>
      <c r="L12" s="7"/>
      <c r="M12" s="4"/>
    </row>
    <row r="13" spans="1:19" ht="87">
      <c r="A13" s="3">
        <f t="shared" si="0"/>
        <v>12</v>
      </c>
      <c r="B13" s="6" t="s">
        <v>495</v>
      </c>
      <c r="C13" s="4" t="s">
        <v>429</v>
      </c>
      <c r="D13" s="4" t="s">
        <v>430</v>
      </c>
      <c r="E13" s="4" t="s">
        <v>496</v>
      </c>
      <c r="F13" s="4" t="s">
        <v>497</v>
      </c>
      <c r="G13" s="4" t="s">
        <v>481</v>
      </c>
      <c r="H13" s="4" t="s">
        <v>498</v>
      </c>
      <c r="I13" s="4" t="s">
        <v>499</v>
      </c>
      <c r="J13" s="7"/>
      <c r="K13" s="7"/>
      <c r="L13" s="7"/>
      <c r="M13" s="4"/>
    </row>
    <row r="14" spans="1:19" ht="87">
      <c r="A14" s="3">
        <f t="shared" si="0"/>
        <v>13</v>
      </c>
      <c r="B14" s="6" t="s">
        <v>500</v>
      </c>
      <c r="C14" s="4" t="s">
        <v>429</v>
      </c>
      <c r="D14" s="4" t="s">
        <v>430</v>
      </c>
      <c r="E14" s="4" t="s">
        <v>501</v>
      </c>
      <c r="F14" s="4" t="s">
        <v>502</v>
      </c>
      <c r="G14" s="4" t="s">
        <v>503</v>
      </c>
      <c r="H14" s="4" t="s">
        <v>504</v>
      </c>
      <c r="I14" s="4" t="s">
        <v>505</v>
      </c>
      <c r="J14" s="7"/>
      <c r="K14" s="7"/>
      <c r="L14" s="7"/>
      <c r="M14" s="4"/>
    </row>
    <row r="15" spans="1:19" ht="87">
      <c r="A15" s="3">
        <f t="shared" si="0"/>
        <v>14</v>
      </c>
      <c r="B15" s="6" t="s">
        <v>506</v>
      </c>
      <c r="C15" s="4" t="s">
        <v>429</v>
      </c>
      <c r="D15" s="4" t="s">
        <v>449</v>
      </c>
      <c r="E15" s="4" t="s">
        <v>507</v>
      </c>
      <c r="F15" s="4" t="s">
        <v>508</v>
      </c>
      <c r="G15" s="4" t="s">
        <v>439</v>
      </c>
      <c r="H15" s="4" t="s">
        <v>509</v>
      </c>
      <c r="I15" s="4" t="s">
        <v>510</v>
      </c>
      <c r="J15" s="7"/>
      <c r="K15" s="7"/>
      <c r="L15" s="7"/>
      <c r="M15" s="4"/>
    </row>
    <row r="16" spans="1:19" ht="72.75">
      <c r="A16" s="3">
        <f t="shared" si="0"/>
        <v>15</v>
      </c>
      <c r="B16" s="6" t="s">
        <v>511</v>
      </c>
      <c r="C16" s="4" t="s">
        <v>429</v>
      </c>
      <c r="D16" s="4" t="s">
        <v>449</v>
      </c>
      <c r="E16" s="4" t="s">
        <v>512</v>
      </c>
      <c r="F16" s="4" t="s">
        <v>513</v>
      </c>
      <c r="G16" s="4" t="s">
        <v>514</v>
      </c>
      <c r="H16" s="10" t="s">
        <v>515</v>
      </c>
      <c r="I16" s="4" t="s">
        <v>516</v>
      </c>
      <c r="J16" s="7"/>
      <c r="K16" s="7"/>
      <c r="L16" s="7"/>
      <c r="M16" s="4"/>
    </row>
    <row r="17" spans="1:13" ht="87">
      <c r="A17" s="3">
        <f t="shared" si="0"/>
        <v>16</v>
      </c>
      <c r="B17" s="6" t="s">
        <v>517</v>
      </c>
      <c r="C17" s="4" t="s">
        <v>429</v>
      </c>
      <c r="D17" s="4" t="s">
        <v>449</v>
      </c>
      <c r="E17" s="4" t="s">
        <v>518</v>
      </c>
      <c r="F17" s="4" t="s">
        <v>519</v>
      </c>
      <c r="G17" s="4" t="s">
        <v>481</v>
      </c>
      <c r="H17" s="4" t="s">
        <v>520</v>
      </c>
      <c r="I17" s="4" t="s">
        <v>521</v>
      </c>
      <c r="J17" s="7"/>
      <c r="K17" s="7"/>
      <c r="L17" s="7"/>
      <c r="M17" s="4"/>
    </row>
    <row r="18" spans="1:13" ht="87">
      <c r="A18" s="3">
        <f t="shared" si="0"/>
        <v>17</v>
      </c>
      <c r="B18" s="6" t="s">
        <v>522</v>
      </c>
      <c r="C18" s="4" t="s">
        <v>429</v>
      </c>
      <c r="D18" s="4" t="s">
        <v>449</v>
      </c>
      <c r="E18" s="4" t="s">
        <v>523</v>
      </c>
      <c r="F18" s="4" t="s">
        <v>524</v>
      </c>
      <c r="G18" s="4" t="s">
        <v>525</v>
      </c>
      <c r="H18" s="4" t="s">
        <v>526</v>
      </c>
      <c r="I18" s="4" t="s">
        <v>527</v>
      </c>
      <c r="J18" s="7"/>
      <c r="K18" s="7"/>
      <c r="L18" s="7"/>
      <c r="M18" s="4"/>
    </row>
    <row r="19" spans="1:13" ht="87">
      <c r="A19" s="3">
        <f t="shared" si="0"/>
        <v>18</v>
      </c>
      <c r="B19" s="6" t="s">
        <v>528</v>
      </c>
      <c r="C19" s="4" t="s">
        <v>429</v>
      </c>
      <c r="D19" s="4" t="s">
        <v>449</v>
      </c>
      <c r="E19" s="4" t="s">
        <v>529</v>
      </c>
      <c r="F19" s="4" t="s">
        <v>530</v>
      </c>
      <c r="G19" s="4" t="s">
        <v>531</v>
      </c>
      <c r="H19" s="4" t="s">
        <v>532</v>
      </c>
      <c r="I19" s="4" t="s">
        <v>533</v>
      </c>
      <c r="J19" s="7"/>
      <c r="K19" s="7"/>
      <c r="L19" s="7"/>
      <c r="M19" s="4"/>
    </row>
    <row r="20" spans="1:13" ht="87">
      <c r="A20" s="3">
        <f t="shared" si="0"/>
        <v>19</v>
      </c>
      <c r="B20" s="6" t="s">
        <v>534</v>
      </c>
      <c r="C20" s="4" t="s">
        <v>429</v>
      </c>
      <c r="D20" s="4" t="s">
        <v>449</v>
      </c>
      <c r="E20" s="4" t="s">
        <v>535</v>
      </c>
      <c r="F20" s="4" t="s">
        <v>536</v>
      </c>
      <c r="G20" s="4" t="s">
        <v>537</v>
      </c>
      <c r="H20" s="4" t="s">
        <v>538</v>
      </c>
      <c r="I20" s="4" t="s">
        <v>539</v>
      </c>
      <c r="J20" s="7"/>
      <c r="K20" s="7"/>
      <c r="L20" s="7"/>
      <c r="M20" s="4"/>
    </row>
    <row r="21" spans="1:13" ht="87">
      <c r="A21" s="3">
        <f t="shared" si="0"/>
        <v>20</v>
      </c>
      <c r="B21" s="6" t="s">
        <v>540</v>
      </c>
      <c r="C21" s="4" t="s">
        <v>429</v>
      </c>
      <c r="D21" s="4" t="s">
        <v>449</v>
      </c>
      <c r="E21" s="4" t="s">
        <v>541</v>
      </c>
      <c r="F21" s="4" t="s">
        <v>542</v>
      </c>
      <c r="G21" s="4" t="s">
        <v>487</v>
      </c>
      <c r="H21" s="4" t="s">
        <v>543</v>
      </c>
      <c r="I21" s="4" t="s">
        <v>544</v>
      </c>
      <c r="J21" s="7"/>
      <c r="K21" s="7"/>
      <c r="L21" s="7"/>
      <c r="M21" s="4"/>
    </row>
    <row r="22" spans="1:13" ht="87">
      <c r="A22" s="3">
        <f t="shared" si="0"/>
        <v>21</v>
      </c>
      <c r="B22" s="6" t="s">
        <v>545</v>
      </c>
      <c r="C22" s="4" t="s">
        <v>429</v>
      </c>
      <c r="D22" s="4" t="s">
        <v>449</v>
      </c>
      <c r="E22" s="4" t="s">
        <v>546</v>
      </c>
      <c r="F22" s="4" t="s">
        <v>547</v>
      </c>
      <c r="G22" s="4" t="s">
        <v>548</v>
      </c>
      <c r="H22" s="4" t="s">
        <v>549</v>
      </c>
      <c r="I22" s="4" t="s">
        <v>550</v>
      </c>
      <c r="J22" s="7"/>
      <c r="K22" s="7"/>
      <c r="L22" s="7"/>
      <c r="M22" s="4"/>
    </row>
    <row r="23" spans="1:13" ht="87">
      <c r="A23" s="3">
        <f t="shared" si="0"/>
        <v>22</v>
      </c>
      <c r="B23" s="6" t="s">
        <v>551</v>
      </c>
      <c r="C23" s="4" t="s">
        <v>429</v>
      </c>
      <c r="D23" s="4" t="s">
        <v>449</v>
      </c>
      <c r="E23" s="4" t="s">
        <v>552</v>
      </c>
      <c r="F23" s="4" t="s">
        <v>553</v>
      </c>
      <c r="G23" s="4" t="s">
        <v>554</v>
      </c>
      <c r="H23" s="4" t="s">
        <v>555</v>
      </c>
      <c r="I23" s="4" t="s">
        <v>556</v>
      </c>
      <c r="J23" s="7"/>
      <c r="K23" s="7"/>
      <c r="L23" s="7"/>
      <c r="M23" s="4"/>
    </row>
    <row r="24" spans="1:13" ht="87">
      <c r="A24" s="3">
        <f t="shared" si="0"/>
        <v>23</v>
      </c>
      <c r="B24" s="6" t="s">
        <v>557</v>
      </c>
      <c r="C24" s="4" t="s">
        <v>429</v>
      </c>
      <c r="D24" s="4" t="s">
        <v>449</v>
      </c>
      <c r="E24" s="4" t="s">
        <v>558</v>
      </c>
      <c r="F24" s="4" t="s">
        <v>559</v>
      </c>
      <c r="G24" s="4" t="s">
        <v>560</v>
      </c>
      <c r="H24" s="4" t="s">
        <v>561</v>
      </c>
      <c r="I24" s="4" t="s">
        <v>562</v>
      </c>
      <c r="J24" s="7"/>
      <c r="K24" s="7"/>
      <c r="L24" s="7"/>
      <c r="M24" s="4"/>
    </row>
    <row r="25" spans="1:13" ht="87">
      <c r="A25" s="3">
        <f t="shared" si="0"/>
        <v>24</v>
      </c>
      <c r="B25" s="6" t="s">
        <v>563</v>
      </c>
      <c r="C25" s="4" t="s">
        <v>429</v>
      </c>
      <c r="D25" s="4" t="s">
        <v>449</v>
      </c>
      <c r="E25" s="4" t="s">
        <v>564</v>
      </c>
      <c r="F25" s="4" t="s">
        <v>565</v>
      </c>
      <c r="G25" s="4" t="s">
        <v>566</v>
      </c>
      <c r="H25" s="4" t="s">
        <v>567</v>
      </c>
      <c r="I25" s="4" t="s">
        <v>568</v>
      </c>
      <c r="J25" s="7"/>
      <c r="K25" s="7"/>
      <c r="L25" s="7"/>
      <c r="M25" s="4"/>
    </row>
    <row r="26" spans="1:13" ht="87">
      <c r="A26" s="3">
        <f t="shared" si="0"/>
        <v>25</v>
      </c>
      <c r="B26" s="6" t="s">
        <v>569</v>
      </c>
      <c r="C26" s="4" t="s">
        <v>429</v>
      </c>
      <c r="D26" s="4" t="s">
        <v>449</v>
      </c>
      <c r="E26" s="4" t="s">
        <v>570</v>
      </c>
      <c r="F26" s="4" t="s">
        <v>571</v>
      </c>
      <c r="G26" s="4" t="s">
        <v>566</v>
      </c>
      <c r="H26" s="4" t="s">
        <v>572</v>
      </c>
      <c r="I26" s="4" t="s">
        <v>573</v>
      </c>
      <c r="J26" s="7"/>
      <c r="K26" s="7"/>
      <c r="L26" s="7"/>
      <c r="M26" s="4"/>
    </row>
    <row r="27" spans="1:13" ht="87">
      <c r="A27" s="3">
        <f t="shared" si="0"/>
        <v>26</v>
      </c>
      <c r="B27" s="6" t="s">
        <v>574</v>
      </c>
      <c r="C27" s="4" t="s">
        <v>429</v>
      </c>
      <c r="D27" s="4" t="s">
        <v>430</v>
      </c>
      <c r="E27" s="4" t="s">
        <v>575</v>
      </c>
      <c r="F27" s="4" t="s">
        <v>576</v>
      </c>
      <c r="G27" s="4" t="s">
        <v>577</v>
      </c>
      <c r="H27" s="4" t="s">
        <v>578</v>
      </c>
      <c r="I27" s="4" t="s">
        <v>579</v>
      </c>
      <c r="J27" s="7"/>
      <c r="K27" s="7"/>
      <c r="L27" s="7"/>
      <c r="M27" s="4"/>
    </row>
    <row r="28" spans="1:13" ht="87">
      <c r="A28" s="3">
        <f t="shared" si="0"/>
        <v>27</v>
      </c>
      <c r="B28" s="6" t="s">
        <v>580</v>
      </c>
      <c r="C28" s="4" t="s">
        <v>429</v>
      </c>
      <c r="D28" s="4" t="s">
        <v>430</v>
      </c>
      <c r="E28" s="4" t="s">
        <v>581</v>
      </c>
      <c r="F28" s="4" t="s">
        <v>582</v>
      </c>
      <c r="G28" s="4" t="s">
        <v>583</v>
      </c>
      <c r="H28" s="4" t="s">
        <v>584</v>
      </c>
      <c r="I28" s="4" t="s">
        <v>585</v>
      </c>
      <c r="J28" s="7"/>
      <c r="K28" s="7"/>
      <c r="L28" s="7"/>
      <c r="M28" s="4"/>
    </row>
    <row r="29" spans="1:13" ht="87">
      <c r="A29" s="3">
        <f t="shared" si="0"/>
        <v>28</v>
      </c>
      <c r="B29" s="6" t="s">
        <v>586</v>
      </c>
      <c r="C29" s="4" t="s">
        <v>429</v>
      </c>
      <c r="D29" s="4" t="s">
        <v>449</v>
      </c>
      <c r="E29" s="4" t="s">
        <v>587</v>
      </c>
      <c r="F29" s="4" t="s">
        <v>588</v>
      </c>
      <c r="G29" s="4" t="s">
        <v>589</v>
      </c>
      <c r="H29" s="4" t="s">
        <v>590</v>
      </c>
      <c r="I29" s="4" t="s">
        <v>591</v>
      </c>
      <c r="J29" s="7"/>
      <c r="K29" s="7"/>
      <c r="L29" s="7"/>
      <c r="M29" s="4"/>
    </row>
    <row r="30" spans="1:13" ht="87">
      <c r="A30" s="3">
        <f t="shared" si="0"/>
        <v>29</v>
      </c>
      <c r="B30" s="6" t="s">
        <v>592</v>
      </c>
      <c r="C30" s="4" t="s">
        <v>429</v>
      </c>
      <c r="D30" s="4" t="s">
        <v>449</v>
      </c>
      <c r="E30" s="4" t="s">
        <v>593</v>
      </c>
      <c r="F30" s="4" t="s">
        <v>594</v>
      </c>
      <c r="G30" s="4" t="s">
        <v>595</v>
      </c>
      <c r="H30" s="4" t="s">
        <v>596</v>
      </c>
      <c r="I30" s="4" t="s">
        <v>597</v>
      </c>
      <c r="J30" s="7"/>
      <c r="K30" s="7"/>
      <c r="L30" s="7"/>
      <c r="M30" s="4"/>
    </row>
    <row r="31" spans="1:13" ht="87">
      <c r="A31" s="3">
        <f t="shared" si="0"/>
        <v>30</v>
      </c>
      <c r="B31" s="59" t="s">
        <v>598</v>
      </c>
      <c r="C31" s="16" t="s">
        <v>429</v>
      </c>
      <c r="D31" s="4" t="s">
        <v>449</v>
      </c>
      <c r="E31" s="16" t="s">
        <v>599</v>
      </c>
      <c r="F31" s="16" t="s">
        <v>600</v>
      </c>
      <c r="G31" s="16" t="s">
        <v>601</v>
      </c>
      <c r="H31" s="16" t="s">
        <v>602</v>
      </c>
      <c r="I31" s="16" t="s">
        <v>603</v>
      </c>
      <c r="J31" s="17"/>
      <c r="K31" s="17"/>
      <c r="L31" s="17"/>
      <c r="M31" s="16"/>
    </row>
    <row r="32" spans="1:13" ht="72.75">
      <c r="A32" s="60">
        <f t="shared" si="0"/>
        <v>31</v>
      </c>
      <c r="B32" s="18" t="s">
        <v>604</v>
      </c>
      <c r="C32" s="18" t="s">
        <v>429</v>
      </c>
      <c r="D32" s="18" t="s">
        <v>315</v>
      </c>
      <c r="E32" s="18" t="s">
        <v>605</v>
      </c>
      <c r="F32" s="18" t="s">
        <v>606</v>
      </c>
      <c r="G32" s="18" t="s">
        <v>481</v>
      </c>
      <c r="H32" s="18" t="s">
        <v>607</v>
      </c>
      <c r="I32" s="18" t="s">
        <v>608</v>
      </c>
      <c r="J32" s="18"/>
      <c r="K32" s="58"/>
      <c r="L32" s="18"/>
      <c r="M32" s="49"/>
    </row>
    <row r="33" spans="1:13" ht="72.75">
      <c r="A33" s="60">
        <f t="shared" si="0"/>
        <v>32</v>
      </c>
      <c r="B33" s="18" t="s">
        <v>609</v>
      </c>
      <c r="C33" s="18" t="s">
        <v>429</v>
      </c>
      <c r="D33" s="18" t="s">
        <v>86</v>
      </c>
      <c r="E33" s="18" t="s">
        <v>610</v>
      </c>
      <c r="F33" s="18" t="s">
        <v>611</v>
      </c>
      <c r="G33" s="18" t="s">
        <v>612</v>
      </c>
      <c r="H33" s="18" t="s">
        <v>613</v>
      </c>
      <c r="I33" s="18" t="s">
        <v>614</v>
      </c>
      <c r="J33" s="18"/>
      <c r="K33" s="58"/>
      <c r="L33" s="18"/>
      <c r="M33" s="49"/>
    </row>
    <row r="34" spans="1:13" ht="72.75">
      <c r="A34" s="60">
        <f t="shared" si="0"/>
        <v>33</v>
      </c>
      <c r="B34" s="18" t="s">
        <v>615</v>
      </c>
      <c r="C34" s="18" t="s">
        <v>429</v>
      </c>
      <c r="D34" s="18" t="s">
        <v>616</v>
      </c>
      <c r="E34" s="18" t="s">
        <v>617</v>
      </c>
      <c r="F34" s="18" t="s">
        <v>618</v>
      </c>
      <c r="G34" s="18" t="s">
        <v>612</v>
      </c>
      <c r="H34" s="18" t="s">
        <v>619</v>
      </c>
      <c r="I34" s="18" t="s">
        <v>620</v>
      </c>
      <c r="J34" s="18"/>
      <c r="K34" s="58"/>
      <c r="L34" s="18"/>
      <c r="M34" s="49"/>
    </row>
    <row r="35" spans="1:13" ht="72.75">
      <c r="A35" s="60">
        <f t="shared" si="0"/>
        <v>34</v>
      </c>
      <c r="B35" s="18" t="s">
        <v>621</v>
      </c>
      <c r="C35" s="18" t="s">
        <v>429</v>
      </c>
      <c r="D35" s="18" t="s">
        <v>315</v>
      </c>
      <c r="E35" s="18" t="s">
        <v>622</v>
      </c>
      <c r="F35" s="18" t="s">
        <v>623</v>
      </c>
      <c r="G35" s="18" t="s">
        <v>624</v>
      </c>
      <c r="H35" s="18" t="s">
        <v>625</v>
      </c>
      <c r="I35" s="18" t="s">
        <v>626</v>
      </c>
      <c r="J35" s="18"/>
      <c r="K35" s="58"/>
      <c r="L35" s="18"/>
      <c r="M35" s="49"/>
    </row>
    <row r="36" spans="1:13" ht="72.75">
      <c r="A36" s="60">
        <f t="shared" si="0"/>
        <v>35</v>
      </c>
      <c r="B36" s="18" t="s">
        <v>627</v>
      </c>
      <c r="C36" s="18" t="s">
        <v>429</v>
      </c>
      <c r="D36" s="18" t="s">
        <v>315</v>
      </c>
      <c r="E36" s="18" t="s">
        <v>628</v>
      </c>
      <c r="F36" s="18" t="s">
        <v>629</v>
      </c>
      <c r="G36" s="18" t="s">
        <v>630</v>
      </c>
      <c r="H36" s="18" t="s">
        <v>631</v>
      </c>
      <c r="I36" s="18" t="s">
        <v>632</v>
      </c>
      <c r="J36" s="18"/>
      <c r="K36" s="58"/>
      <c r="L36" s="18"/>
      <c r="M36" s="49"/>
    </row>
    <row r="37" spans="1:13" ht="72.75">
      <c r="A37" s="60">
        <f t="shared" si="0"/>
        <v>36</v>
      </c>
      <c r="B37" s="18" t="s">
        <v>633</v>
      </c>
      <c r="C37" s="18" t="s">
        <v>429</v>
      </c>
      <c r="D37" s="18" t="s">
        <v>315</v>
      </c>
      <c r="E37" s="18" t="s">
        <v>634</v>
      </c>
      <c r="F37" s="18" t="s">
        <v>635</v>
      </c>
      <c r="G37" s="18" t="s">
        <v>636</v>
      </c>
      <c r="H37" s="18" t="s">
        <v>637</v>
      </c>
      <c r="I37" s="18" t="s">
        <v>638</v>
      </c>
      <c r="J37" s="18"/>
      <c r="K37" s="58"/>
      <c r="L37" s="18"/>
      <c r="M37" s="49"/>
    </row>
    <row r="38" spans="1:13">
      <c r="C38" s="53" t="s">
        <v>429</v>
      </c>
      <c r="D38" s="8"/>
    </row>
    <row r="39" spans="1:13">
      <c r="C39" s="4" t="s">
        <v>429</v>
      </c>
      <c r="D39" s="8"/>
    </row>
    <row r="40" spans="1:13">
      <c r="C40" s="4" t="s">
        <v>429</v>
      </c>
      <c r="D40" s="8"/>
      <c r="E40" s="8"/>
    </row>
    <row r="41" spans="1:13">
      <c r="C41" s="4" t="s">
        <v>429</v>
      </c>
      <c r="D41" s="8"/>
      <c r="E41" s="8"/>
    </row>
    <row r="42" spans="1:13">
      <c r="C42" s="4" t="s">
        <v>429</v>
      </c>
      <c r="D42" s="8"/>
      <c r="E42" s="8"/>
    </row>
    <row r="43" spans="1:13">
      <c r="C43" s="4" t="s">
        <v>429</v>
      </c>
      <c r="D43" s="8"/>
      <c r="E43" s="8"/>
    </row>
    <row r="44" spans="1:13">
      <c r="C44" s="4" t="s">
        <v>429</v>
      </c>
      <c r="D44" s="8"/>
      <c r="E44" s="8"/>
    </row>
    <row r="46" spans="1:13">
      <c r="E46" s="8"/>
    </row>
    <row r="47" spans="1:13">
      <c r="E47" s="8"/>
    </row>
    <row r="48" spans="1:13">
      <c r="E48"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888A-57DA-470F-8D14-09E16BC7627A}">
  <dimension ref="A1:S70"/>
  <sheetViews>
    <sheetView workbookViewId="0">
      <pane xSplit="1" ySplit="1" topLeftCell="B28" activePane="bottomRight" state="frozen"/>
      <selection pane="bottomRight" activeCell="G30" sqref="G30"/>
      <selection pane="bottomLeft"/>
      <selection pane="topRight"/>
    </sheetView>
  </sheetViews>
  <sheetFormatPr defaultColWidth="17.42578125" defaultRowHeight="15" customHeight="1"/>
  <cols>
    <col min="1" max="1" width="8.42578125" bestFit="1" customWidth="1"/>
    <col min="2" max="3" width="11.42578125" bestFit="1" customWidth="1"/>
    <col min="5" max="5" width="32.5703125" bestFit="1" customWidth="1"/>
    <col min="6" max="6" width="47" bestFit="1" customWidth="1"/>
    <col min="7" max="7" width="30.42578125" bestFit="1" customWidth="1"/>
    <col min="8" max="8" width="50.5703125" bestFit="1" customWidth="1"/>
    <col min="9" max="9" width="27.42578125" customWidth="1"/>
    <col min="10" max="10" width="14.7109375" bestFit="1" customWidth="1"/>
    <col min="11" max="11" width="8.7109375" bestFit="1" customWidth="1"/>
    <col min="12" max="12" width="10.85546875" bestFit="1" customWidth="1"/>
    <col min="13" max="13" width="21.5703125" customWidth="1"/>
  </cols>
  <sheetData>
    <row r="1" spans="1:19" ht="50.1" customHeight="1">
      <c r="A1" s="40" t="s">
        <v>48</v>
      </c>
      <c r="B1" s="50" t="s">
        <v>49</v>
      </c>
      <c r="C1" s="50" t="s">
        <v>50</v>
      </c>
      <c r="D1" s="50" t="s">
        <v>639</v>
      </c>
      <c r="E1" s="50" t="s">
        <v>16</v>
      </c>
      <c r="F1" s="45" t="s">
        <v>52</v>
      </c>
      <c r="G1" s="2" t="s">
        <v>53</v>
      </c>
      <c r="H1" s="2" t="s">
        <v>54</v>
      </c>
      <c r="I1" s="2" t="s">
        <v>55</v>
      </c>
      <c r="J1" s="2" t="s">
        <v>56</v>
      </c>
      <c r="K1" s="2" t="s">
        <v>57</v>
      </c>
      <c r="L1" s="2" t="s">
        <v>58</v>
      </c>
      <c r="M1" s="2" t="s">
        <v>59</v>
      </c>
      <c r="N1" s="2" t="s">
        <v>60</v>
      </c>
      <c r="O1" s="2" t="s">
        <v>61</v>
      </c>
      <c r="P1" s="2" t="s">
        <v>62</v>
      </c>
      <c r="Q1" s="2" t="s">
        <v>63</v>
      </c>
      <c r="R1" s="2" t="s">
        <v>64</v>
      </c>
      <c r="S1" s="2" t="s">
        <v>46</v>
      </c>
    </row>
    <row r="2" spans="1:19" ht="87">
      <c r="A2" s="15">
        <v>1</v>
      </c>
      <c r="B2" s="36" t="s">
        <v>640</v>
      </c>
      <c r="C2" s="36" t="s">
        <v>641</v>
      </c>
      <c r="D2" s="36" t="s">
        <v>315</v>
      </c>
      <c r="E2" s="36" t="s">
        <v>642</v>
      </c>
      <c r="F2" s="46" t="s">
        <v>643</v>
      </c>
      <c r="G2" s="29" t="s">
        <v>644</v>
      </c>
      <c r="H2" s="29" t="s">
        <v>645</v>
      </c>
      <c r="I2" s="29" t="s">
        <v>646</v>
      </c>
      <c r="J2" s="30"/>
      <c r="K2" s="30"/>
      <c r="L2" s="30"/>
      <c r="M2" s="29" t="s">
        <v>647</v>
      </c>
    </row>
    <row r="3" spans="1:19" ht="87">
      <c r="A3" s="15">
        <f>1+A2</f>
        <v>2</v>
      </c>
      <c r="B3" s="36" t="s">
        <v>648</v>
      </c>
      <c r="C3" s="36" t="s">
        <v>641</v>
      </c>
      <c r="D3" s="36" t="s">
        <v>315</v>
      </c>
      <c r="E3" s="36" t="s">
        <v>649</v>
      </c>
      <c r="F3" s="46" t="s">
        <v>650</v>
      </c>
      <c r="G3" s="29" t="s">
        <v>651</v>
      </c>
      <c r="H3" s="29" t="s">
        <v>652</v>
      </c>
      <c r="I3" s="29" t="s">
        <v>653</v>
      </c>
      <c r="J3" s="30"/>
      <c r="K3" s="30"/>
      <c r="L3" s="30"/>
      <c r="M3" s="29" t="s">
        <v>654</v>
      </c>
    </row>
    <row r="4" spans="1:19" ht="87">
      <c r="A4" s="15">
        <f t="shared" ref="A4:A47" si="0">1+A3</f>
        <v>3</v>
      </c>
      <c r="B4" s="36" t="s">
        <v>655</v>
      </c>
      <c r="C4" s="36" t="s">
        <v>641</v>
      </c>
      <c r="D4" s="36" t="s">
        <v>315</v>
      </c>
      <c r="E4" s="36" t="s">
        <v>656</v>
      </c>
      <c r="F4" s="46" t="s">
        <v>657</v>
      </c>
      <c r="G4" s="29" t="s">
        <v>644</v>
      </c>
      <c r="H4" s="29" t="s">
        <v>658</v>
      </c>
      <c r="I4" s="29" t="s">
        <v>659</v>
      </c>
      <c r="J4" s="30"/>
      <c r="K4" s="30"/>
      <c r="L4" s="30"/>
      <c r="M4" s="29" t="s">
        <v>660</v>
      </c>
    </row>
    <row r="5" spans="1:19" ht="87">
      <c r="A5" s="15">
        <f t="shared" si="0"/>
        <v>4</v>
      </c>
      <c r="B5" s="36" t="s">
        <v>661</v>
      </c>
      <c r="C5" s="36" t="s">
        <v>641</v>
      </c>
      <c r="D5" s="36" t="s">
        <v>616</v>
      </c>
      <c r="E5" s="36" t="s">
        <v>662</v>
      </c>
      <c r="F5" s="46" t="s">
        <v>663</v>
      </c>
      <c r="G5" s="29" t="s">
        <v>664</v>
      </c>
      <c r="H5" s="29" t="s">
        <v>665</v>
      </c>
      <c r="I5" s="29" t="s">
        <v>666</v>
      </c>
      <c r="J5" s="30"/>
      <c r="K5" s="30"/>
      <c r="L5" s="30"/>
      <c r="M5" s="29" t="s">
        <v>667</v>
      </c>
    </row>
    <row r="6" spans="1:19" ht="87">
      <c r="A6" s="15">
        <f t="shared" si="0"/>
        <v>5</v>
      </c>
      <c r="B6" s="36" t="s">
        <v>668</v>
      </c>
      <c r="C6" s="36" t="s">
        <v>641</v>
      </c>
      <c r="D6" s="36" t="s">
        <v>315</v>
      </c>
      <c r="E6" s="36" t="s">
        <v>669</v>
      </c>
      <c r="F6" s="46" t="s">
        <v>670</v>
      </c>
      <c r="G6" s="29" t="s">
        <v>651</v>
      </c>
      <c r="H6" s="29" t="s">
        <v>671</v>
      </c>
      <c r="I6" s="29" t="s">
        <v>672</v>
      </c>
      <c r="J6" s="30"/>
      <c r="K6" s="30"/>
      <c r="L6" s="30"/>
      <c r="M6" s="29" t="s">
        <v>673</v>
      </c>
    </row>
    <row r="7" spans="1:19" ht="87">
      <c r="A7" s="15">
        <f t="shared" si="0"/>
        <v>6</v>
      </c>
      <c r="B7" s="36" t="s">
        <v>674</v>
      </c>
      <c r="C7" s="36" t="s">
        <v>641</v>
      </c>
      <c r="D7" s="36" t="s">
        <v>315</v>
      </c>
      <c r="E7" s="36" t="s">
        <v>675</v>
      </c>
      <c r="F7" s="46" t="s">
        <v>676</v>
      </c>
      <c r="G7" s="29" t="s">
        <v>677</v>
      </c>
      <c r="H7" s="29" t="s">
        <v>678</v>
      </c>
      <c r="I7" s="29" t="s">
        <v>679</v>
      </c>
      <c r="J7" s="30"/>
      <c r="K7" s="30"/>
      <c r="L7" s="30"/>
      <c r="M7" s="29" t="s">
        <v>654</v>
      </c>
    </row>
    <row r="8" spans="1:19" ht="87">
      <c r="A8" s="15">
        <f t="shared" si="0"/>
        <v>7</v>
      </c>
      <c r="B8" s="36" t="s">
        <v>680</v>
      </c>
      <c r="C8" s="36" t="s">
        <v>641</v>
      </c>
      <c r="D8" s="36" t="s">
        <v>616</v>
      </c>
      <c r="E8" s="36" t="s">
        <v>681</v>
      </c>
      <c r="F8" s="46" t="s">
        <v>682</v>
      </c>
      <c r="G8" s="29" t="s">
        <v>683</v>
      </c>
      <c r="H8" s="29" t="s">
        <v>684</v>
      </c>
      <c r="I8" s="29" t="s">
        <v>685</v>
      </c>
      <c r="J8" s="30"/>
      <c r="K8" s="30"/>
      <c r="L8" s="30"/>
      <c r="M8" s="29" t="s">
        <v>654</v>
      </c>
    </row>
    <row r="9" spans="1:19" ht="72.75">
      <c r="A9" s="15">
        <f t="shared" si="0"/>
        <v>8</v>
      </c>
      <c r="B9" s="36" t="s">
        <v>686</v>
      </c>
      <c r="C9" s="36" t="s">
        <v>641</v>
      </c>
      <c r="D9" s="36" t="s">
        <v>616</v>
      </c>
      <c r="E9" s="36" t="s">
        <v>687</v>
      </c>
      <c r="F9" s="46" t="s">
        <v>688</v>
      </c>
      <c r="G9" s="29" t="s">
        <v>689</v>
      </c>
      <c r="H9" s="29" t="s">
        <v>690</v>
      </c>
      <c r="I9" s="29" t="s">
        <v>691</v>
      </c>
      <c r="J9" s="30"/>
      <c r="K9" s="30"/>
      <c r="L9" s="30"/>
      <c r="M9" s="29" t="s">
        <v>692</v>
      </c>
    </row>
    <row r="10" spans="1:19" ht="72.75">
      <c r="A10" s="15">
        <f t="shared" si="0"/>
        <v>9</v>
      </c>
      <c r="B10" s="36" t="s">
        <v>693</v>
      </c>
      <c r="C10" s="36" t="s">
        <v>641</v>
      </c>
      <c r="D10" s="36" t="s">
        <v>616</v>
      </c>
      <c r="E10" s="36" t="s">
        <v>694</v>
      </c>
      <c r="F10" s="46" t="s">
        <v>695</v>
      </c>
      <c r="G10" s="29" t="s">
        <v>689</v>
      </c>
      <c r="H10" s="29" t="s">
        <v>696</v>
      </c>
      <c r="I10" s="29" t="s">
        <v>697</v>
      </c>
      <c r="J10" s="30"/>
      <c r="K10" s="30"/>
      <c r="L10" s="30"/>
      <c r="M10" s="29" t="s">
        <v>692</v>
      </c>
    </row>
    <row r="11" spans="1:19" ht="43.5">
      <c r="A11" s="15">
        <f t="shared" si="0"/>
        <v>10</v>
      </c>
      <c r="B11" s="36" t="s">
        <v>698</v>
      </c>
      <c r="C11" s="36" t="s">
        <v>641</v>
      </c>
      <c r="D11" s="36" t="s">
        <v>616</v>
      </c>
      <c r="E11" s="36" t="s">
        <v>699</v>
      </c>
      <c r="F11" s="47" t="s">
        <v>700</v>
      </c>
      <c r="G11" s="31" t="s">
        <v>554</v>
      </c>
      <c r="H11" s="31" t="s">
        <v>701</v>
      </c>
      <c r="I11" s="31" t="s">
        <v>702</v>
      </c>
      <c r="J11" s="30"/>
      <c r="K11" s="30"/>
      <c r="L11" s="30"/>
      <c r="M11" s="29" t="s">
        <v>703</v>
      </c>
    </row>
    <row r="12" spans="1:19" ht="87">
      <c r="A12" s="15">
        <f t="shared" si="0"/>
        <v>11</v>
      </c>
      <c r="B12" s="36" t="s">
        <v>704</v>
      </c>
      <c r="C12" s="36" t="s">
        <v>641</v>
      </c>
      <c r="D12" s="36" t="s">
        <v>315</v>
      </c>
      <c r="E12" s="36" t="s">
        <v>705</v>
      </c>
      <c r="F12" s="46" t="s">
        <v>706</v>
      </c>
      <c r="G12" s="29" t="s">
        <v>183</v>
      </c>
      <c r="H12" s="29" t="s">
        <v>707</v>
      </c>
      <c r="I12" s="29" t="s">
        <v>708</v>
      </c>
      <c r="J12" s="30"/>
      <c r="K12" s="30"/>
      <c r="L12" s="30"/>
      <c r="M12" s="29" t="s">
        <v>709</v>
      </c>
    </row>
    <row r="13" spans="1:19" ht="87">
      <c r="A13" s="15">
        <f t="shared" si="0"/>
        <v>12</v>
      </c>
      <c r="B13" s="36" t="s">
        <v>710</v>
      </c>
      <c r="C13" s="36" t="s">
        <v>641</v>
      </c>
      <c r="D13" s="36" t="s">
        <v>616</v>
      </c>
      <c r="E13" s="36" t="s">
        <v>711</v>
      </c>
      <c r="F13" s="46" t="s">
        <v>712</v>
      </c>
      <c r="G13" s="29" t="s">
        <v>713</v>
      </c>
      <c r="H13" s="29" t="s">
        <v>714</v>
      </c>
      <c r="I13" s="29" t="s">
        <v>715</v>
      </c>
      <c r="J13" s="30"/>
      <c r="K13" s="30"/>
      <c r="L13" s="30"/>
      <c r="M13" s="29" t="s">
        <v>716</v>
      </c>
    </row>
    <row r="14" spans="1:19" ht="87">
      <c r="A14" s="15">
        <f t="shared" si="0"/>
        <v>13</v>
      </c>
      <c r="B14" s="36" t="s">
        <v>717</v>
      </c>
      <c r="C14" s="36" t="s">
        <v>641</v>
      </c>
      <c r="D14" s="36" t="s">
        <v>315</v>
      </c>
      <c r="E14" s="36" t="s">
        <v>718</v>
      </c>
      <c r="F14" s="46" t="s">
        <v>719</v>
      </c>
      <c r="G14" s="29" t="s">
        <v>651</v>
      </c>
      <c r="H14" s="29" t="s">
        <v>720</v>
      </c>
      <c r="I14" s="29" t="s">
        <v>721</v>
      </c>
      <c r="J14" s="30"/>
      <c r="K14" s="30"/>
      <c r="L14" s="30"/>
      <c r="M14" s="29" t="s">
        <v>722</v>
      </c>
    </row>
    <row r="15" spans="1:19" ht="87">
      <c r="A15" s="15">
        <f t="shared" si="0"/>
        <v>14</v>
      </c>
      <c r="B15" s="36" t="s">
        <v>723</v>
      </c>
      <c r="C15" s="36" t="s">
        <v>641</v>
      </c>
      <c r="D15" s="36" t="s">
        <v>616</v>
      </c>
      <c r="E15" s="36" t="s">
        <v>724</v>
      </c>
      <c r="F15" s="46" t="s">
        <v>725</v>
      </c>
      <c r="G15" s="29" t="s">
        <v>183</v>
      </c>
      <c r="H15" s="29" t="s">
        <v>726</v>
      </c>
      <c r="I15" s="29" t="s">
        <v>727</v>
      </c>
      <c r="J15" s="30"/>
      <c r="K15" s="30"/>
      <c r="L15" s="30"/>
      <c r="M15" s="29" t="s">
        <v>654</v>
      </c>
    </row>
    <row r="16" spans="1:19" ht="87">
      <c r="A16" s="15">
        <f t="shared" si="0"/>
        <v>15</v>
      </c>
      <c r="B16" s="36" t="s">
        <v>728</v>
      </c>
      <c r="C16" s="36" t="s">
        <v>641</v>
      </c>
      <c r="D16" s="36" t="s">
        <v>315</v>
      </c>
      <c r="E16" s="36" t="s">
        <v>729</v>
      </c>
      <c r="F16" s="46" t="s">
        <v>730</v>
      </c>
      <c r="G16" s="29" t="s">
        <v>651</v>
      </c>
      <c r="H16" s="29" t="s">
        <v>731</v>
      </c>
      <c r="I16" s="29" t="s">
        <v>732</v>
      </c>
      <c r="J16" s="30"/>
      <c r="K16" s="30"/>
      <c r="L16" s="30"/>
      <c r="M16" s="29" t="s">
        <v>733</v>
      </c>
    </row>
    <row r="17" spans="1:13" ht="87">
      <c r="A17" s="15">
        <f t="shared" si="0"/>
        <v>16</v>
      </c>
      <c r="B17" s="36" t="s">
        <v>734</v>
      </c>
      <c r="C17" s="36" t="s">
        <v>641</v>
      </c>
      <c r="D17" s="36" t="s">
        <v>315</v>
      </c>
      <c r="E17" s="36" t="s">
        <v>735</v>
      </c>
      <c r="F17" s="46" t="s">
        <v>736</v>
      </c>
      <c r="G17" s="29" t="s">
        <v>737</v>
      </c>
      <c r="H17" s="29" t="s">
        <v>738</v>
      </c>
      <c r="I17" s="29" t="s">
        <v>739</v>
      </c>
      <c r="J17" s="30"/>
      <c r="K17" s="30"/>
      <c r="L17" s="30"/>
      <c r="M17" s="29" t="s">
        <v>740</v>
      </c>
    </row>
    <row r="18" spans="1:13" ht="87">
      <c r="A18" s="15">
        <f t="shared" si="0"/>
        <v>17</v>
      </c>
      <c r="B18" s="36" t="s">
        <v>741</v>
      </c>
      <c r="C18" s="36" t="s">
        <v>641</v>
      </c>
      <c r="D18" s="36" t="s">
        <v>315</v>
      </c>
      <c r="E18" s="36" t="s">
        <v>742</v>
      </c>
      <c r="F18" s="46" t="s">
        <v>743</v>
      </c>
      <c r="G18" s="29" t="s">
        <v>744</v>
      </c>
      <c r="H18" s="29" t="s">
        <v>745</v>
      </c>
      <c r="I18" s="29" t="s">
        <v>746</v>
      </c>
      <c r="J18" s="30"/>
      <c r="K18" s="30"/>
      <c r="L18" s="30"/>
      <c r="M18" s="29" t="s">
        <v>740</v>
      </c>
    </row>
    <row r="19" spans="1:13" ht="87">
      <c r="A19" s="15">
        <f t="shared" si="0"/>
        <v>18</v>
      </c>
      <c r="B19" s="36" t="s">
        <v>747</v>
      </c>
      <c r="C19" s="36" t="s">
        <v>641</v>
      </c>
      <c r="D19" s="36" t="s">
        <v>315</v>
      </c>
      <c r="E19" s="36" t="s">
        <v>748</v>
      </c>
      <c r="F19" s="46" t="s">
        <v>749</v>
      </c>
      <c r="G19" s="29" t="s">
        <v>750</v>
      </c>
      <c r="H19" s="29" t="s">
        <v>751</v>
      </c>
      <c r="I19" s="29" t="s">
        <v>752</v>
      </c>
      <c r="J19" s="30"/>
      <c r="K19" s="30"/>
      <c r="L19" s="30"/>
      <c r="M19" s="29" t="s">
        <v>740</v>
      </c>
    </row>
    <row r="20" spans="1:13" ht="87">
      <c r="A20" s="15">
        <f t="shared" si="0"/>
        <v>19</v>
      </c>
      <c r="B20" s="36" t="s">
        <v>753</v>
      </c>
      <c r="C20" s="36" t="s">
        <v>641</v>
      </c>
      <c r="D20" s="36" t="s">
        <v>315</v>
      </c>
      <c r="E20" s="36" t="s">
        <v>754</v>
      </c>
      <c r="F20" s="46" t="s">
        <v>755</v>
      </c>
      <c r="G20" s="29" t="s">
        <v>756</v>
      </c>
      <c r="H20" s="29" t="s">
        <v>757</v>
      </c>
      <c r="I20" s="29" t="s">
        <v>758</v>
      </c>
      <c r="J20" s="29" t="s">
        <v>759</v>
      </c>
      <c r="K20" s="30"/>
      <c r="L20" s="30"/>
      <c r="M20" s="29" t="s">
        <v>760</v>
      </c>
    </row>
    <row r="21" spans="1:13" ht="87">
      <c r="A21" s="15">
        <f t="shared" si="0"/>
        <v>20</v>
      </c>
      <c r="B21" s="36" t="s">
        <v>761</v>
      </c>
      <c r="C21" s="36" t="s">
        <v>641</v>
      </c>
      <c r="D21" s="36" t="s">
        <v>315</v>
      </c>
      <c r="E21" s="36" t="s">
        <v>762</v>
      </c>
      <c r="F21" s="46" t="s">
        <v>763</v>
      </c>
      <c r="G21" s="29" t="s">
        <v>764</v>
      </c>
      <c r="H21" s="29" t="s">
        <v>765</v>
      </c>
      <c r="I21" s="29" t="s">
        <v>766</v>
      </c>
      <c r="J21" s="30"/>
      <c r="K21" s="30"/>
      <c r="L21" s="30"/>
      <c r="M21" s="29" t="s">
        <v>767</v>
      </c>
    </row>
    <row r="22" spans="1:13" ht="87">
      <c r="A22" s="15">
        <f t="shared" si="0"/>
        <v>21</v>
      </c>
      <c r="B22" s="36" t="s">
        <v>768</v>
      </c>
      <c r="C22" s="36" t="s">
        <v>641</v>
      </c>
      <c r="D22" s="36" t="s">
        <v>315</v>
      </c>
      <c r="E22" s="36" t="s">
        <v>769</v>
      </c>
      <c r="F22" s="46" t="s">
        <v>770</v>
      </c>
      <c r="G22" s="29" t="s">
        <v>771</v>
      </c>
      <c r="H22" s="29" t="s">
        <v>772</v>
      </c>
      <c r="I22" s="29" t="s">
        <v>773</v>
      </c>
      <c r="J22" s="30"/>
      <c r="K22" s="30"/>
      <c r="L22" s="30"/>
      <c r="M22" s="29" t="s">
        <v>673</v>
      </c>
    </row>
    <row r="23" spans="1:13" ht="87">
      <c r="A23" s="15">
        <f t="shared" si="0"/>
        <v>22</v>
      </c>
      <c r="B23" s="36" t="s">
        <v>774</v>
      </c>
      <c r="C23" s="36" t="s">
        <v>641</v>
      </c>
      <c r="D23" s="36" t="s">
        <v>315</v>
      </c>
      <c r="E23" s="36" t="s">
        <v>775</v>
      </c>
      <c r="F23" s="46" t="s">
        <v>776</v>
      </c>
      <c r="G23" s="29" t="s">
        <v>777</v>
      </c>
      <c r="H23" s="29" t="s">
        <v>778</v>
      </c>
      <c r="I23" s="29" t="s">
        <v>779</v>
      </c>
      <c r="J23" s="30"/>
      <c r="K23" s="30"/>
      <c r="L23" s="30"/>
      <c r="M23" s="29" t="s">
        <v>647</v>
      </c>
    </row>
    <row r="24" spans="1:13" ht="29.25">
      <c r="A24" s="41">
        <f t="shared" si="0"/>
        <v>23</v>
      </c>
      <c r="B24" s="36" t="s">
        <v>780</v>
      </c>
      <c r="C24" s="36" t="s">
        <v>641</v>
      </c>
      <c r="D24" s="36" t="s">
        <v>315</v>
      </c>
      <c r="E24" s="36" t="s">
        <v>781</v>
      </c>
      <c r="F24" s="47" t="s">
        <v>782</v>
      </c>
      <c r="G24" s="31" t="s">
        <v>651</v>
      </c>
      <c r="H24" s="31" t="s">
        <v>783</v>
      </c>
      <c r="I24" s="31" t="s">
        <v>784</v>
      </c>
      <c r="J24" s="30"/>
      <c r="K24" s="30"/>
      <c r="L24" s="30"/>
      <c r="M24" s="29" t="s">
        <v>785</v>
      </c>
    </row>
    <row r="25" spans="1:13" ht="87">
      <c r="A25" s="15">
        <f t="shared" si="0"/>
        <v>24</v>
      </c>
      <c r="B25" s="36" t="s">
        <v>786</v>
      </c>
      <c r="C25" s="36" t="s">
        <v>641</v>
      </c>
      <c r="D25" s="36" t="s">
        <v>315</v>
      </c>
      <c r="E25" s="36" t="s">
        <v>787</v>
      </c>
      <c r="F25" s="46" t="s">
        <v>788</v>
      </c>
      <c r="G25" s="29" t="s">
        <v>789</v>
      </c>
      <c r="H25" s="29" t="s">
        <v>790</v>
      </c>
      <c r="I25" s="29" t="s">
        <v>791</v>
      </c>
      <c r="J25" s="30"/>
      <c r="K25" s="30"/>
      <c r="L25" s="30"/>
      <c r="M25" s="29" t="s">
        <v>785</v>
      </c>
    </row>
    <row r="26" spans="1:13" ht="72.75">
      <c r="A26" s="15">
        <f t="shared" si="0"/>
        <v>25</v>
      </c>
      <c r="B26" s="36" t="s">
        <v>792</v>
      </c>
      <c r="C26" s="36" t="s">
        <v>641</v>
      </c>
      <c r="D26" s="36" t="s">
        <v>315</v>
      </c>
      <c r="E26" s="36" t="s">
        <v>793</v>
      </c>
      <c r="F26" s="46" t="s">
        <v>794</v>
      </c>
      <c r="G26" s="29" t="s">
        <v>795</v>
      </c>
      <c r="H26" s="29" t="s">
        <v>796</v>
      </c>
      <c r="I26" s="29" t="s">
        <v>797</v>
      </c>
      <c r="J26" s="30"/>
      <c r="K26" s="30"/>
      <c r="L26" s="30"/>
      <c r="M26" s="29" t="s">
        <v>798</v>
      </c>
    </row>
    <row r="27" spans="1:13" ht="87">
      <c r="A27" s="15">
        <f t="shared" si="0"/>
        <v>26</v>
      </c>
      <c r="B27" s="36" t="s">
        <v>799</v>
      </c>
      <c r="C27" s="36" t="s">
        <v>641</v>
      </c>
      <c r="D27" s="36" t="s">
        <v>315</v>
      </c>
      <c r="E27" s="36" t="s">
        <v>800</v>
      </c>
      <c r="F27" s="46" t="s">
        <v>801</v>
      </c>
      <c r="G27" s="29" t="s">
        <v>802</v>
      </c>
      <c r="H27" s="29" t="s">
        <v>803</v>
      </c>
      <c r="I27" s="29" t="s">
        <v>804</v>
      </c>
      <c r="J27" s="30"/>
      <c r="K27" s="30"/>
      <c r="L27" s="30"/>
      <c r="M27" s="29" t="s">
        <v>805</v>
      </c>
    </row>
    <row r="28" spans="1:13" ht="87">
      <c r="A28" s="15">
        <f t="shared" si="0"/>
        <v>27</v>
      </c>
      <c r="B28" s="36" t="s">
        <v>806</v>
      </c>
      <c r="C28" s="36" t="s">
        <v>641</v>
      </c>
      <c r="D28" s="36" t="s">
        <v>315</v>
      </c>
      <c r="E28" s="36" t="s">
        <v>807</v>
      </c>
      <c r="F28" s="46" t="s">
        <v>808</v>
      </c>
      <c r="G28" s="29" t="s">
        <v>809</v>
      </c>
      <c r="H28" s="29" t="s">
        <v>810</v>
      </c>
      <c r="I28" s="29" t="s">
        <v>811</v>
      </c>
      <c r="J28" s="30"/>
      <c r="K28" s="30"/>
      <c r="L28" s="30"/>
      <c r="M28" s="29" t="s">
        <v>812</v>
      </c>
    </row>
    <row r="29" spans="1:13" ht="87">
      <c r="A29" s="15">
        <f t="shared" si="0"/>
        <v>28</v>
      </c>
      <c r="B29" s="36" t="s">
        <v>813</v>
      </c>
      <c r="C29" s="36" t="s">
        <v>641</v>
      </c>
      <c r="D29" s="36" t="s">
        <v>315</v>
      </c>
      <c r="E29" s="36" t="s">
        <v>814</v>
      </c>
      <c r="F29" s="46" t="s">
        <v>815</v>
      </c>
      <c r="G29" s="29" t="s">
        <v>651</v>
      </c>
      <c r="H29" s="29" t="s">
        <v>816</v>
      </c>
      <c r="I29" s="29" t="s">
        <v>817</v>
      </c>
      <c r="J29" s="30"/>
      <c r="K29" s="30"/>
      <c r="L29" s="30"/>
      <c r="M29" s="29" t="s">
        <v>654</v>
      </c>
    </row>
    <row r="30" spans="1:13" ht="87">
      <c r="A30" s="15">
        <f t="shared" si="0"/>
        <v>29</v>
      </c>
      <c r="B30" s="36" t="s">
        <v>818</v>
      </c>
      <c r="C30" s="36" t="s">
        <v>641</v>
      </c>
      <c r="D30" s="36" t="s">
        <v>315</v>
      </c>
      <c r="E30" s="36" t="s">
        <v>819</v>
      </c>
      <c r="F30" s="46" t="s">
        <v>820</v>
      </c>
      <c r="G30" s="29" t="s">
        <v>795</v>
      </c>
      <c r="H30" s="29" t="s">
        <v>821</v>
      </c>
      <c r="I30" s="29" t="s">
        <v>822</v>
      </c>
      <c r="J30" s="30"/>
      <c r="K30" s="30"/>
      <c r="L30" s="30"/>
      <c r="M30" s="29" t="s">
        <v>823</v>
      </c>
    </row>
    <row r="31" spans="1:13" ht="101.25">
      <c r="A31" s="26">
        <f t="shared" si="0"/>
        <v>30</v>
      </c>
      <c r="B31" s="36" t="s">
        <v>824</v>
      </c>
      <c r="C31" s="36" t="s">
        <v>641</v>
      </c>
      <c r="D31" s="36" t="s">
        <v>616</v>
      </c>
      <c r="E31" s="36" t="s">
        <v>825</v>
      </c>
      <c r="F31" s="48" t="s">
        <v>826</v>
      </c>
      <c r="G31" s="32" t="s">
        <v>827</v>
      </c>
      <c r="H31" s="32" t="s">
        <v>828</v>
      </c>
      <c r="I31" s="32" t="s">
        <v>829</v>
      </c>
      <c r="J31" s="33"/>
      <c r="K31" s="33"/>
      <c r="L31" s="33"/>
      <c r="M31" s="32" t="s">
        <v>830</v>
      </c>
    </row>
    <row r="32" spans="1:13" ht="87">
      <c r="A32" s="26">
        <f t="shared" si="0"/>
        <v>31</v>
      </c>
      <c r="B32" s="36" t="s">
        <v>831</v>
      </c>
      <c r="C32" s="36" t="s">
        <v>641</v>
      </c>
      <c r="D32" s="36" t="s">
        <v>315</v>
      </c>
      <c r="E32" s="36" t="s">
        <v>832</v>
      </c>
      <c r="F32" s="49" t="s">
        <v>833</v>
      </c>
      <c r="G32" s="18" t="s">
        <v>834</v>
      </c>
      <c r="H32" s="18" t="s">
        <v>835</v>
      </c>
      <c r="I32" s="18" t="s">
        <v>836</v>
      </c>
      <c r="J32" s="18"/>
      <c r="K32" s="18"/>
      <c r="L32" s="18"/>
      <c r="M32" s="18" t="s">
        <v>837</v>
      </c>
    </row>
    <row r="33" spans="1:13" ht="115.5">
      <c r="A33" s="26">
        <f t="shared" si="0"/>
        <v>32</v>
      </c>
      <c r="B33" s="36" t="s">
        <v>838</v>
      </c>
      <c r="C33" s="36" t="s">
        <v>641</v>
      </c>
      <c r="D33" s="36" t="s">
        <v>315</v>
      </c>
      <c r="E33" s="36" t="s">
        <v>839</v>
      </c>
      <c r="F33" s="49" t="s">
        <v>840</v>
      </c>
      <c r="G33" s="18" t="s">
        <v>737</v>
      </c>
      <c r="H33" s="18" t="s">
        <v>841</v>
      </c>
      <c r="I33" s="18" t="s">
        <v>842</v>
      </c>
      <c r="J33" s="18"/>
      <c r="K33" s="18"/>
      <c r="L33" s="18"/>
      <c r="M33" s="18" t="s">
        <v>843</v>
      </c>
    </row>
    <row r="34" spans="1:13" ht="87">
      <c r="A34" s="26">
        <f t="shared" si="0"/>
        <v>33</v>
      </c>
      <c r="B34" s="36" t="s">
        <v>844</v>
      </c>
      <c r="C34" s="36" t="s">
        <v>641</v>
      </c>
      <c r="D34" s="36" t="s">
        <v>315</v>
      </c>
      <c r="E34" s="36" t="s">
        <v>845</v>
      </c>
      <c r="F34" s="49" t="s">
        <v>846</v>
      </c>
      <c r="G34" s="18" t="s">
        <v>847</v>
      </c>
      <c r="H34" s="18" t="s">
        <v>848</v>
      </c>
      <c r="I34" s="18" t="s">
        <v>849</v>
      </c>
      <c r="J34" s="18"/>
      <c r="K34" s="18"/>
      <c r="L34" s="18"/>
      <c r="M34" s="18" t="s">
        <v>850</v>
      </c>
    </row>
    <row r="35" spans="1:13" ht="101.25">
      <c r="A35" s="42">
        <f t="shared" si="0"/>
        <v>34</v>
      </c>
      <c r="B35" s="36" t="s">
        <v>851</v>
      </c>
      <c r="C35" s="36" t="s">
        <v>641</v>
      </c>
      <c r="D35" s="36" t="s">
        <v>315</v>
      </c>
      <c r="E35" s="36" t="s">
        <v>852</v>
      </c>
      <c r="F35" s="28" t="s">
        <v>853</v>
      </c>
      <c r="G35" s="27" t="s">
        <v>854</v>
      </c>
      <c r="H35" s="27" t="s">
        <v>855</v>
      </c>
      <c r="I35" s="27" t="s">
        <v>856</v>
      </c>
      <c r="J35" s="27"/>
      <c r="K35" s="27"/>
      <c r="L35" s="27"/>
      <c r="M35" s="27" t="s">
        <v>857</v>
      </c>
    </row>
    <row r="36" spans="1:13" ht="87">
      <c r="A36" s="43">
        <f t="shared" si="0"/>
        <v>35</v>
      </c>
      <c r="B36" s="36" t="s">
        <v>858</v>
      </c>
      <c r="C36" s="36" t="s">
        <v>641</v>
      </c>
      <c r="D36" s="36" t="s">
        <v>315</v>
      </c>
      <c r="E36" s="36" t="s">
        <v>859</v>
      </c>
      <c r="F36" s="49" t="s">
        <v>860</v>
      </c>
      <c r="G36" s="18" t="s">
        <v>861</v>
      </c>
      <c r="H36" s="18" t="s">
        <v>862</v>
      </c>
      <c r="I36" s="18" t="s">
        <v>863</v>
      </c>
      <c r="J36" s="18"/>
      <c r="K36" s="18"/>
      <c r="L36" s="18"/>
      <c r="M36" s="18" t="s">
        <v>864</v>
      </c>
    </row>
    <row r="37" spans="1:13" ht="72.75">
      <c r="A37" s="43">
        <f t="shared" si="0"/>
        <v>36</v>
      </c>
      <c r="B37" s="36" t="s">
        <v>865</v>
      </c>
      <c r="C37" s="36" t="s">
        <v>641</v>
      </c>
      <c r="D37" s="36" t="s">
        <v>315</v>
      </c>
      <c r="E37" s="36" t="s">
        <v>866</v>
      </c>
      <c r="F37" s="49" t="s">
        <v>867</v>
      </c>
      <c r="G37" s="18" t="s">
        <v>868</v>
      </c>
      <c r="H37" s="18" t="s">
        <v>869</v>
      </c>
      <c r="I37" s="18" t="s">
        <v>870</v>
      </c>
      <c r="J37" s="18"/>
      <c r="K37" s="18"/>
      <c r="L37" s="18"/>
      <c r="M37" s="18" t="s">
        <v>871</v>
      </c>
    </row>
    <row r="38" spans="1:13" ht="87">
      <c r="A38" s="43">
        <f t="shared" si="0"/>
        <v>37</v>
      </c>
      <c r="B38" s="36" t="s">
        <v>872</v>
      </c>
      <c r="C38" s="36" t="s">
        <v>641</v>
      </c>
      <c r="D38" s="36" t="s">
        <v>315</v>
      </c>
      <c r="E38" s="36" t="s">
        <v>873</v>
      </c>
      <c r="F38" s="49" t="s">
        <v>874</v>
      </c>
      <c r="G38" s="18" t="s">
        <v>861</v>
      </c>
      <c r="H38" s="18" t="s">
        <v>875</v>
      </c>
      <c r="I38" s="18" t="s">
        <v>876</v>
      </c>
      <c r="J38" s="18"/>
      <c r="K38" s="18"/>
      <c r="L38" s="18"/>
      <c r="M38" s="18" t="s">
        <v>877</v>
      </c>
    </row>
    <row r="39" spans="1:13" ht="87">
      <c r="A39" s="43">
        <f t="shared" si="0"/>
        <v>38</v>
      </c>
      <c r="B39" s="36" t="s">
        <v>878</v>
      </c>
      <c r="C39" s="36" t="s">
        <v>641</v>
      </c>
      <c r="D39" s="36" t="s">
        <v>315</v>
      </c>
      <c r="E39" s="36" t="s">
        <v>879</v>
      </c>
      <c r="F39" s="49" t="s">
        <v>880</v>
      </c>
      <c r="G39" s="18" t="s">
        <v>881</v>
      </c>
      <c r="H39" s="18" t="s">
        <v>882</v>
      </c>
      <c r="I39" s="18" t="s">
        <v>883</v>
      </c>
      <c r="J39" s="18"/>
      <c r="K39" s="18"/>
      <c r="L39" s="18"/>
      <c r="M39" s="18" t="s">
        <v>850</v>
      </c>
    </row>
    <row r="40" spans="1:13" ht="87">
      <c r="A40" s="43">
        <f t="shared" si="0"/>
        <v>39</v>
      </c>
      <c r="B40" s="36" t="s">
        <v>884</v>
      </c>
      <c r="C40" s="36" t="s">
        <v>641</v>
      </c>
      <c r="D40" s="36" t="s">
        <v>315</v>
      </c>
      <c r="E40" s="36" t="s">
        <v>885</v>
      </c>
      <c r="F40" s="49" t="s">
        <v>886</v>
      </c>
      <c r="G40" s="18" t="s">
        <v>887</v>
      </c>
      <c r="H40" s="18" t="s">
        <v>888</v>
      </c>
      <c r="I40" s="18" t="s">
        <v>889</v>
      </c>
      <c r="J40" s="18"/>
      <c r="K40" s="18"/>
      <c r="L40" s="18"/>
      <c r="M40" s="18" t="s">
        <v>890</v>
      </c>
    </row>
    <row r="41" spans="1:13" ht="87">
      <c r="A41" s="43">
        <f t="shared" si="0"/>
        <v>40</v>
      </c>
      <c r="B41" s="36" t="s">
        <v>891</v>
      </c>
      <c r="C41" s="36" t="s">
        <v>641</v>
      </c>
      <c r="D41" s="36" t="s">
        <v>315</v>
      </c>
      <c r="E41" s="36" t="s">
        <v>892</v>
      </c>
      <c r="F41" s="49" t="s">
        <v>893</v>
      </c>
      <c r="G41" s="18" t="s">
        <v>861</v>
      </c>
      <c r="H41" s="18" t="s">
        <v>894</v>
      </c>
      <c r="I41" s="18" t="s">
        <v>895</v>
      </c>
      <c r="J41" s="18"/>
      <c r="K41" s="18"/>
      <c r="L41" s="18"/>
      <c r="M41" s="18" t="s">
        <v>896</v>
      </c>
    </row>
    <row r="42" spans="1:13" ht="87">
      <c r="A42" s="43">
        <f t="shared" si="0"/>
        <v>41</v>
      </c>
      <c r="B42" s="36" t="s">
        <v>897</v>
      </c>
      <c r="C42" s="36" t="s">
        <v>641</v>
      </c>
      <c r="D42" s="36" t="s">
        <v>315</v>
      </c>
      <c r="E42" s="36" t="s">
        <v>898</v>
      </c>
      <c r="F42" s="49" t="s">
        <v>899</v>
      </c>
      <c r="G42" s="18" t="s">
        <v>900</v>
      </c>
      <c r="H42" s="18" t="s">
        <v>901</v>
      </c>
      <c r="I42" s="18" t="s">
        <v>902</v>
      </c>
      <c r="J42" s="18"/>
      <c r="K42" s="18"/>
      <c r="L42" s="18"/>
      <c r="M42" s="18" t="s">
        <v>709</v>
      </c>
    </row>
    <row r="43" spans="1:13" ht="87">
      <c r="A43" s="43">
        <f t="shared" si="0"/>
        <v>42</v>
      </c>
      <c r="B43" s="36" t="s">
        <v>903</v>
      </c>
      <c r="C43" s="36" t="s">
        <v>641</v>
      </c>
      <c r="D43" s="36" t="s">
        <v>315</v>
      </c>
      <c r="E43" s="36" t="s">
        <v>904</v>
      </c>
      <c r="F43" s="49" t="s">
        <v>905</v>
      </c>
      <c r="G43" s="18" t="s">
        <v>906</v>
      </c>
      <c r="H43" s="18" t="s">
        <v>907</v>
      </c>
      <c r="I43" s="18" t="s">
        <v>908</v>
      </c>
      <c r="J43" s="18"/>
      <c r="K43" s="18"/>
      <c r="L43" s="18"/>
      <c r="M43" s="18" t="s">
        <v>909</v>
      </c>
    </row>
    <row r="44" spans="1:13" ht="87">
      <c r="A44" s="43">
        <f t="shared" si="0"/>
        <v>43</v>
      </c>
      <c r="B44" s="36" t="s">
        <v>910</v>
      </c>
      <c r="C44" s="36" t="s">
        <v>641</v>
      </c>
      <c r="D44" s="36" t="s">
        <v>315</v>
      </c>
      <c r="E44" s="36" t="s">
        <v>911</v>
      </c>
      <c r="F44" s="49" t="s">
        <v>912</v>
      </c>
      <c r="G44" s="18" t="s">
        <v>913</v>
      </c>
      <c r="H44" s="18" t="s">
        <v>914</v>
      </c>
      <c r="I44" s="18" t="s">
        <v>915</v>
      </c>
      <c r="J44" s="18"/>
      <c r="K44" s="18"/>
      <c r="L44" s="18"/>
      <c r="M44" s="18" t="s">
        <v>916</v>
      </c>
    </row>
    <row r="45" spans="1:13" ht="87">
      <c r="A45" s="43">
        <f t="shared" si="0"/>
        <v>44</v>
      </c>
      <c r="B45" s="36" t="s">
        <v>917</v>
      </c>
      <c r="C45" s="36" t="s">
        <v>641</v>
      </c>
      <c r="D45" s="36" t="s">
        <v>315</v>
      </c>
      <c r="E45" s="36" t="s">
        <v>793</v>
      </c>
      <c r="F45" s="49" t="s">
        <v>918</v>
      </c>
      <c r="G45" s="18" t="s">
        <v>612</v>
      </c>
      <c r="H45" s="18" t="s">
        <v>919</v>
      </c>
      <c r="I45" s="18" t="s">
        <v>920</v>
      </c>
      <c r="J45" s="18"/>
      <c r="K45" s="18"/>
      <c r="L45" s="18"/>
      <c r="M45" s="18" t="s">
        <v>921</v>
      </c>
    </row>
    <row r="46" spans="1:13" ht="87">
      <c r="A46" s="43">
        <f t="shared" si="0"/>
        <v>45</v>
      </c>
      <c r="B46" s="36" t="s">
        <v>922</v>
      </c>
      <c r="C46" s="36" t="s">
        <v>641</v>
      </c>
      <c r="D46" s="36" t="s">
        <v>315</v>
      </c>
      <c r="E46" s="36" t="s">
        <v>839</v>
      </c>
      <c r="F46" s="49" t="s">
        <v>923</v>
      </c>
      <c r="G46" s="18" t="s">
        <v>737</v>
      </c>
      <c r="H46" s="18" t="s">
        <v>924</v>
      </c>
      <c r="I46" s="18" t="s">
        <v>925</v>
      </c>
      <c r="J46" s="18"/>
      <c r="K46" s="18"/>
      <c r="L46" s="18"/>
      <c r="M46" s="18" t="s">
        <v>909</v>
      </c>
    </row>
    <row r="47" spans="1:13" ht="101.25">
      <c r="A47" s="44">
        <f t="shared" si="0"/>
        <v>46</v>
      </c>
      <c r="B47" s="36" t="s">
        <v>926</v>
      </c>
      <c r="C47" s="36" t="s">
        <v>641</v>
      </c>
      <c r="D47" s="36" t="s">
        <v>315</v>
      </c>
      <c r="E47" s="36" t="s">
        <v>927</v>
      </c>
      <c r="F47" s="28" t="s">
        <v>928</v>
      </c>
      <c r="G47" s="27" t="s">
        <v>929</v>
      </c>
      <c r="H47" s="27" t="s">
        <v>930</v>
      </c>
      <c r="I47" s="27" t="s">
        <v>931</v>
      </c>
      <c r="J47" s="27"/>
      <c r="K47" s="27"/>
      <c r="L47" s="27"/>
      <c r="M47" s="27" t="s">
        <v>932</v>
      </c>
    </row>
    <row r="48" spans="1:13" ht="87">
      <c r="A48" s="43">
        <f>1+A47</f>
        <v>47</v>
      </c>
      <c r="B48" s="36" t="s">
        <v>933</v>
      </c>
      <c r="C48" s="36" t="s">
        <v>641</v>
      </c>
      <c r="D48" s="36" t="s">
        <v>315</v>
      </c>
      <c r="E48" s="36" t="s">
        <v>934</v>
      </c>
      <c r="F48" s="49" t="s">
        <v>935</v>
      </c>
      <c r="G48" s="18" t="s">
        <v>936</v>
      </c>
      <c r="H48" s="18" t="s">
        <v>937</v>
      </c>
      <c r="I48" s="18" t="s">
        <v>938</v>
      </c>
      <c r="J48" s="18"/>
      <c r="K48" s="18"/>
      <c r="L48" s="18"/>
      <c r="M48" s="18" t="s">
        <v>939</v>
      </c>
    </row>
    <row r="49" spans="1:15" ht="87">
      <c r="A49" s="44">
        <f>1+A48</f>
        <v>48</v>
      </c>
      <c r="B49" s="36" t="s">
        <v>940</v>
      </c>
      <c r="C49" s="36" t="s">
        <v>641</v>
      </c>
      <c r="D49" s="36" t="s">
        <v>315</v>
      </c>
      <c r="E49" s="36" t="s">
        <v>941</v>
      </c>
      <c r="F49" s="49" t="s">
        <v>942</v>
      </c>
      <c r="G49" s="18" t="s">
        <v>943</v>
      </c>
      <c r="H49" s="18" t="s">
        <v>944</v>
      </c>
      <c r="I49" s="18" t="s">
        <v>945</v>
      </c>
      <c r="J49" s="18"/>
      <c r="K49" s="18"/>
      <c r="L49" s="18"/>
      <c r="M49" s="18" t="s">
        <v>946</v>
      </c>
    </row>
    <row r="50" spans="1:15" ht="57.75">
      <c r="A50" s="43">
        <f>1+A49</f>
        <v>49</v>
      </c>
      <c r="B50" s="36" t="s">
        <v>947</v>
      </c>
      <c r="C50" s="36" t="s">
        <v>641</v>
      </c>
      <c r="D50" s="36" t="s">
        <v>616</v>
      </c>
      <c r="E50" s="36" t="s">
        <v>948</v>
      </c>
      <c r="F50" s="49" t="s">
        <v>949</v>
      </c>
      <c r="G50" s="18" t="s">
        <v>950</v>
      </c>
      <c r="H50" s="18" t="s">
        <v>951</v>
      </c>
      <c r="I50" s="18" t="s">
        <v>952</v>
      </c>
      <c r="J50" s="18"/>
      <c r="K50" s="18"/>
      <c r="L50" s="12"/>
      <c r="M50" s="18" t="s">
        <v>953</v>
      </c>
      <c r="N50" s="19"/>
      <c r="O50" s="19"/>
    </row>
    <row r="51" spans="1:15" ht="101.25">
      <c r="A51" s="44">
        <f>1+A50</f>
        <v>50</v>
      </c>
      <c r="B51" s="36" t="s">
        <v>954</v>
      </c>
      <c r="C51" s="36" t="s">
        <v>641</v>
      </c>
      <c r="D51" s="36" t="s">
        <v>315</v>
      </c>
      <c r="E51" s="36" t="s">
        <v>955</v>
      </c>
      <c r="F51" s="49" t="s">
        <v>956</v>
      </c>
      <c r="G51" s="18" t="s">
        <v>957</v>
      </c>
      <c r="H51" s="18" t="s">
        <v>958</v>
      </c>
      <c r="I51" s="18" t="s">
        <v>959</v>
      </c>
      <c r="J51" s="18"/>
      <c r="K51" s="18"/>
      <c r="L51" s="12"/>
      <c r="M51" s="18" t="s">
        <v>960</v>
      </c>
      <c r="N51" s="19"/>
      <c r="O51" s="19"/>
    </row>
    <row r="52" spans="1:15" ht="87">
      <c r="A52" s="43">
        <f>1+A51</f>
        <v>51</v>
      </c>
      <c r="B52" s="36" t="s">
        <v>961</v>
      </c>
      <c r="C52" s="36" t="s">
        <v>641</v>
      </c>
      <c r="D52" s="36" t="s">
        <v>315</v>
      </c>
      <c r="E52" s="36" t="s">
        <v>962</v>
      </c>
      <c r="F52" s="49" t="s">
        <v>963</v>
      </c>
      <c r="G52" s="18" t="s">
        <v>964</v>
      </c>
      <c r="H52" s="18" t="s">
        <v>965</v>
      </c>
      <c r="I52" s="18" t="s">
        <v>966</v>
      </c>
      <c r="J52" s="18"/>
      <c r="K52" s="18"/>
      <c r="L52" s="12"/>
      <c r="M52" s="18" t="s">
        <v>967</v>
      </c>
      <c r="N52" s="19"/>
      <c r="O52" s="19"/>
    </row>
    <row r="53" spans="1:15" ht="87">
      <c r="A53" s="44">
        <f>1+A52</f>
        <v>52</v>
      </c>
      <c r="B53" s="37" t="s">
        <v>968</v>
      </c>
      <c r="C53" s="37" t="s">
        <v>641</v>
      </c>
      <c r="D53" s="37" t="s">
        <v>616</v>
      </c>
      <c r="E53" s="37" t="s">
        <v>969</v>
      </c>
      <c r="F53" s="28" t="s">
        <v>970</v>
      </c>
      <c r="G53" s="27" t="s">
        <v>971</v>
      </c>
      <c r="H53" s="27" t="s">
        <v>972</v>
      </c>
      <c r="I53" s="27" t="s">
        <v>973</v>
      </c>
      <c r="J53" s="27"/>
      <c r="K53" s="27"/>
      <c r="L53" s="54"/>
      <c r="M53" s="27" t="s">
        <v>974</v>
      </c>
      <c r="N53" s="19"/>
      <c r="O53" s="19"/>
    </row>
    <row r="54" spans="1:15" ht="87">
      <c r="A54" s="44">
        <f t="shared" ref="A54:A62" si="1">1+A53</f>
        <v>53</v>
      </c>
      <c r="B54" s="55" t="s">
        <v>975</v>
      </c>
      <c r="C54" s="55" t="s">
        <v>641</v>
      </c>
      <c r="D54" s="55" t="s">
        <v>315</v>
      </c>
      <c r="E54" s="55" t="s">
        <v>976</v>
      </c>
      <c r="F54" s="55" t="s">
        <v>977</v>
      </c>
      <c r="G54" s="55" t="s">
        <v>978</v>
      </c>
      <c r="H54" s="55" t="s">
        <v>979</v>
      </c>
      <c r="I54" s="55" t="s">
        <v>980</v>
      </c>
      <c r="J54" s="55"/>
      <c r="K54" s="56"/>
      <c r="L54" s="55"/>
      <c r="M54" s="57" t="s">
        <v>981</v>
      </c>
      <c r="N54" s="55"/>
      <c r="O54" s="55"/>
    </row>
    <row r="55" spans="1:15" ht="72.75">
      <c r="A55" s="44">
        <f t="shared" si="1"/>
        <v>54</v>
      </c>
      <c r="B55" s="55" t="s">
        <v>982</v>
      </c>
      <c r="C55" s="55" t="s">
        <v>641</v>
      </c>
      <c r="D55" s="55" t="s">
        <v>315</v>
      </c>
      <c r="E55" s="55" t="s">
        <v>983</v>
      </c>
      <c r="F55" s="55" t="s">
        <v>984</v>
      </c>
      <c r="G55" s="55" t="s">
        <v>985</v>
      </c>
      <c r="H55" s="55" t="s">
        <v>986</v>
      </c>
      <c r="I55" s="55" t="s">
        <v>987</v>
      </c>
      <c r="J55" s="55"/>
      <c r="K55" s="56"/>
      <c r="L55" s="55"/>
      <c r="M55" s="57" t="s">
        <v>981</v>
      </c>
      <c r="N55" s="55"/>
      <c r="O55" s="55"/>
    </row>
    <row r="56" spans="1:15" ht="72.75">
      <c r="A56" s="44">
        <f t="shared" si="1"/>
        <v>55</v>
      </c>
      <c r="B56" s="55" t="s">
        <v>988</v>
      </c>
      <c r="C56" s="55" t="s">
        <v>641</v>
      </c>
      <c r="D56" s="55" t="s">
        <v>315</v>
      </c>
      <c r="E56" s="55" t="s">
        <v>989</v>
      </c>
      <c r="F56" s="55" t="s">
        <v>990</v>
      </c>
      <c r="G56" s="55" t="s">
        <v>985</v>
      </c>
      <c r="H56" s="55" t="s">
        <v>991</v>
      </c>
      <c r="I56" s="55" t="s">
        <v>992</v>
      </c>
      <c r="J56" s="55"/>
      <c r="K56" s="56"/>
      <c r="L56" s="55"/>
      <c r="M56" s="57" t="s">
        <v>993</v>
      </c>
      <c r="N56" s="55"/>
      <c r="O56" s="55"/>
    </row>
    <row r="57" spans="1:15" ht="72.75">
      <c r="A57" s="44">
        <f t="shared" si="1"/>
        <v>56</v>
      </c>
      <c r="B57" s="55" t="s">
        <v>994</v>
      </c>
      <c r="C57" s="55" t="s">
        <v>641</v>
      </c>
      <c r="D57" s="55" t="s">
        <v>315</v>
      </c>
      <c r="E57" s="55" t="s">
        <v>995</v>
      </c>
      <c r="F57" s="55" t="s">
        <v>996</v>
      </c>
      <c r="G57" s="55" t="s">
        <v>985</v>
      </c>
      <c r="H57" s="55" t="s">
        <v>997</v>
      </c>
      <c r="I57" s="55" t="s">
        <v>998</v>
      </c>
      <c r="J57" s="55"/>
      <c r="K57" s="56"/>
      <c r="L57" s="55"/>
      <c r="M57" s="57" t="s">
        <v>999</v>
      </c>
      <c r="N57" s="55"/>
      <c r="O57" s="55"/>
    </row>
    <row r="58" spans="1:15" ht="72.75">
      <c r="A58" s="44">
        <f t="shared" si="1"/>
        <v>57</v>
      </c>
      <c r="B58" s="55" t="s">
        <v>1000</v>
      </c>
      <c r="C58" s="55" t="s">
        <v>641</v>
      </c>
      <c r="D58" s="55" t="s">
        <v>315</v>
      </c>
      <c r="E58" s="55" t="s">
        <v>1001</v>
      </c>
      <c r="F58" s="55" t="s">
        <v>1002</v>
      </c>
      <c r="G58" s="55" t="s">
        <v>985</v>
      </c>
      <c r="H58" s="55" t="s">
        <v>1003</v>
      </c>
      <c r="I58" s="55" t="s">
        <v>998</v>
      </c>
      <c r="J58" s="55"/>
      <c r="K58" s="56"/>
      <c r="L58" s="55"/>
      <c r="M58" s="57" t="s">
        <v>999</v>
      </c>
      <c r="N58" s="55"/>
      <c r="O58" s="55"/>
    </row>
    <row r="59" spans="1:15" ht="72.75">
      <c r="A59" s="44">
        <f t="shared" si="1"/>
        <v>58</v>
      </c>
      <c r="B59" s="55" t="s">
        <v>1004</v>
      </c>
      <c r="C59" s="55" t="s">
        <v>641</v>
      </c>
      <c r="D59" s="55" t="s">
        <v>616</v>
      </c>
      <c r="E59" s="55" t="s">
        <v>1005</v>
      </c>
      <c r="F59" s="55" t="s">
        <v>1006</v>
      </c>
      <c r="G59" s="55" t="s">
        <v>1007</v>
      </c>
      <c r="H59" s="55" t="s">
        <v>1008</v>
      </c>
      <c r="I59" s="55" t="s">
        <v>1009</v>
      </c>
      <c r="J59" s="55"/>
      <c r="K59" s="56"/>
      <c r="L59" s="55"/>
      <c r="M59" s="57" t="s">
        <v>1010</v>
      </c>
      <c r="N59" s="55"/>
      <c r="O59" s="55"/>
    </row>
    <row r="60" spans="1:15" ht="72.75">
      <c r="A60" s="44">
        <f t="shared" si="1"/>
        <v>59</v>
      </c>
      <c r="B60" s="55" t="s">
        <v>1011</v>
      </c>
      <c r="C60" s="55" t="s">
        <v>641</v>
      </c>
      <c r="D60" s="55" t="s">
        <v>616</v>
      </c>
      <c r="E60" s="55" t="s">
        <v>1012</v>
      </c>
      <c r="F60" s="55" t="s">
        <v>1013</v>
      </c>
      <c r="G60" s="55" t="s">
        <v>1014</v>
      </c>
      <c r="H60" s="55" t="s">
        <v>1015</v>
      </c>
      <c r="I60" s="55" t="s">
        <v>1016</v>
      </c>
      <c r="J60" s="55"/>
      <c r="K60" s="56"/>
      <c r="L60" s="55"/>
      <c r="M60" s="57" t="s">
        <v>1010</v>
      </c>
      <c r="N60" s="55"/>
      <c r="O60" s="55"/>
    </row>
    <row r="61" spans="1:15" ht="72.75">
      <c r="A61" s="44">
        <f t="shared" si="1"/>
        <v>60</v>
      </c>
      <c r="B61" s="55" t="s">
        <v>1017</v>
      </c>
      <c r="C61" s="55" t="s">
        <v>641</v>
      </c>
      <c r="D61" s="55" t="s">
        <v>315</v>
      </c>
      <c r="E61" s="55" t="s">
        <v>1018</v>
      </c>
      <c r="F61" s="55" t="s">
        <v>1019</v>
      </c>
      <c r="G61" s="55" t="s">
        <v>1020</v>
      </c>
      <c r="H61" s="55" t="s">
        <v>1021</v>
      </c>
      <c r="I61" s="55" t="s">
        <v>1022</v>
      </c>
      <c r="J61" s="55"/>
      <c r="K61" s="56"/>
      <c r="L61" s="55"/>
      <c r="M61" s="57" t="s">
        <v>1023</v>
      </c>
      <c r="N61" s="55"/>
      <c r="O61" s="55"/>
    </row>
    <row r="62" spans="1:15" ht="72.75">
      <c r="A62" s="44">
        <f>1+A61</f>
        <v>61</v>
      </c>
      <c r="B62" s="18" t="s">
        <v>1024</v>
      </c>
      <c r="C62" s="18" t="s">
        <v>641</v>
      </c>
      <c r="D62" s="18" t="s">
        <v>315</v>
      </c>
      <c r="E62" s="18" t="s">
        <v>1025</v>
      </c>
      <c r="F62" s="18" t="s">
        <v>1026</v>
      </c>
      <c r="G62" s="18" t="s">
        <v>1027</v>
      </c>
      <c r="H62" s="18" t="s">
        <v>1028</v>
      </c>
      <c r="I62" s="18" t="s">
        <v>1029</v>
      </c>
      <c r="J62" s="18"/>
      <c r="K62" s="58"/>
      <c r="L62" s="18"/>
      <c r="M62" s="49" t="s">
        <v>1030</v>
      </c>
      <c r="N62" s="18"/>
      <c r="O62" s="18"/>
    </row>
    <row r="63" spans="1:15" ht="15" customHeight="1">
      <c r="A63" s="9"/>
      <c r="B63" s="18"/>
      <c r="C63" s="18"/>
      <c r="D63" s="18"/>
      <c r="E63" s="18"/>
      <c r="F63" s="18"/>
      <c r="G63" s="18"/>
      <c r="H63" s="18"/>
      <c r="I63" s="18"/>
      <c r="J63" s="18"/>
      <c r="K63" s="18"/>
      <c r="L63" s="52"/>
      <c r="M63" s="18"/>
      <c r="N63" s="18"/>
      <c r="O63" s="18"/>
    </row>
    <row r="64" spans="1:15" ht="15" customHeight="1">
      <c r="B64" s="19"/>
      <c r="C64" s="19"/>
      <c r="D64" s="19"/>
      <c r="E64" s="19"/>
      <c r="F64" s="19"/>
      <c r="G64" s="19"/>
      <c r="H64" s="19"/>
      <c r="I64" s="19"/>
      <c r="J64" s="19"/>
      <c r="K64" s="19"/>
      <c r="L64" s="19"/>
      <c r="M64" s="19"/>
      <c r="N64" s="19"/>
      <c r="O64" s="19"/>
    </row>
    <row r="65" spans="2:15" ht="15" customHeight="1">
      <c r="B65" s="19"/>
      <c r="C65" s="19"/>
      <c r="D65" s="19"/>
      <c r="E65" s="19"/>
      <c r="F65" s="19"/>
      <c r="G65" s="19"/>
      <c r="H65" s="19"/>
      <c r="I65" s="19"/>
      <c r="J65" s="19"/>
      <c r="K65" s="19"/>
      <c r="L65" s="19"/>
      <c r="M65" s="19"/>
      <c r="N65" s="19"/>
      <c r="O65" s="19"/>
    </row>
    <row r="66" spans="2:15" ht="15" customHeight="1">
      <c r="B66" s="19"/>
      <c r="C66" s="19"/>
      <c r="D66" s="19"/>
      <c r="E66" s="19"/>
      <c r="F66" s="19"/>
      <c r="G66" s="19"/>
      <c r="H66" s="19"/>
      <c r="I66" s="19"/>
      <c r="J66" s="19"/>
      <c r="K66" s="19"/>
      <c r="L66" s="19"/>
      <c r="M66" s="19"/>
      <c r="N66" s="19"/>
      <c r="O66" s="19"/>
    </row>
    <row r="67" spans="2:15" ht="15" customHeight="1">
      <c r="B67" s="19"/>
      <c r="C67" s="19"/>
      <c r="D67" s="19"/>
      <c r="E67" s="19"/>
      <c r="F67" s="19"/>
      <c r="G67" s="19"/>
      <c r="H67" s="19"/>
      <c r="I67" s="19"/>
      <c r="J67" s="19"/>
      <c r="K67" s="19"/>
      <c r="L67" s="19"/>
      <c r="M67" s="19"/>
      <c r="N67" s="19"/>
      <c r="O67" s="19"/>
    </row>
    <row r="68" spans="2:15" ht="15" customHeight="1">
      <c r="B68" s="19"/>
      <c r="C68" s="19"/>
      <c r="D68" s="19"/>
      <c r="E68" s="19"/>
      <c r="F68" s="19"/>
      <c r="G68" s="19"/>
      <c r="H68" s="19"/>
      <c r="I68" s="19"/>
      <c r="J68" s="19"/>
      <c r="K68" s="19"/>
      <c r="L68" s="19"/>
      <c r="M68" s="19"/>
      <c r="N68" s="19"/>
      <c r="O68" s="19"/>
    </row>
    <row r="69" spans="2:15" ht="15" customHeight="1">
      <c r="B69" s="19"/>
      <c r="C69" s="19"/>
      <c r="D69" s="19"/>
      <c r="E69" s="19"/>
      <c r="F69" s="19"/>
      <c r="G69" s="19"/>
      <c r="H69" s="19"/>
      <c r="I69" s="19"/>
      <c r="J69" s="19"/>
      <c r="K69" s="19"/>
      <c r="L69" s="19"/>
      <c r="M69" s="19"/>
      <c r="N69" s="19"/>
      <c r="O69" s="19"/>
    </row>
    <row r="70" spans="2:15" ht="15" customHeight="1">
      <c r="B70" s="19"/>
      <c r="C70" s="19"/>
      <c r="D70" s="19"/>
      <c r="E70" s="19"/>
      <c r="F70" s="19"/>
      <c r="G70" s="19"/>
      <c r="H70" s="19"/>
      <c r="I70" s="19"/>
      <c r="J70" s="19"/>
      <c r="K70" s="19"/>
      <c r="L70" s="19"/>
      <c r="M70" s="19"/>
      <c r="N70" s="19"/>
      <c r="O70" s="19"/>
    </row>
  </sheetData>
  <autoFilter ref="A1:O62" xr:uid="{4FC2888A-57DA-470F-8D14-09E16BC7627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CD341-3133-48F2-95B4-A43C887C403D}">
  <dimension ref="A1:XFC2133"/>
  <sheetViews>
    <sheetView tabSelected="1" workbookViewId="0">
      <pane xSplit="2" ySplit="1" topLeftCell="F84" activePane="bottomRight" state="frozen"/>
      <selection pane="bottomRight" activeCell="J87" sqref="J87"/>
      <selection pane="bottomLeft"/>
      <selection pane="topRight"/>
    </sheetView>
  </sheetViews>
  <sheetFormatPr defaultRowHeight="15"/>
  <cols>
    <col min="1" max="1" width="5.7109375" bestFit="1" customWidth="1"/>
    <col min="2" max="2" width="12.7109375" customWidth="1"/>
    <col min="3" max="3" width="11.140625" customWidth="1"/>
    <col min="4" max="4" width="23.5703125" customWidth="1"/>
    <col min="5" max="5" width="31" customWidth="1"/>
    <col min="6" max="6" width="34.7109375" customWidth="1"/>
    <col min="7" max="7" width="21.42578125" customWidth="1"/>
    <col min="8" max="8" width="47.5703125" customWidth="1"/>
    <col min="9" max="9" width="60.5703125" customWidth="1"/>
    <col min="10" max="10" width="12.85546875" customWidth="1"/>
    <col min="11" max="11" width="14.5703125" customWidth="1"/>
    <col min="12" max="13" width="30.28515625" customWidth="1"/>
    <col min="14" max="14" width="31.7109375" customWidth="1"/>
    <col min="15" max="15" width="20.28515625" customWidth="1"/>
    <col min="16" max="16" width="21.28515625" customWidth="1"/>
    <col min="17" max="17" width="17.7109375" customWidth="1"/>
    <col min="18" max="18" width="20.7109375" customWidth="1"/>
  </cols>
  <sheetData>
    <row r="1" spans="1:19" ht="66.75" customHeight="1">
      <c r="A1" s="50" t="s">
        <v>48</v>
      </c>
      <c r="B1" s="50" t="s">
        <v>49</v>
      </c>
      <c r="C1" s="50" t="s">
        <v>50</v>
      </c>
      <c r="D1" s="50" t="s">
        <v>639</v>
      </c>
      <c r="E1" s="50" t="s">
        <v>16</v>
      </c>
      <c r="F1" s="45" t="s">
        <v>52</v>
      </c>
      <c r="G1" s="2" t="s">
        <v>53</v>
      </c>
      <c r="H1" s="2" t="s">
        <v>54</v>
      </c>
      <c r="I1" s="2" t="s">
        <v>55</v>
      </c>
      <c r="J1" s="2" t="s">
        <v>56</v>
      </c>
      <c r="K1" s="2" t="s">
        <v>57</v>
      </c>
      <c r="L1" s="82" t="s">
        <v>58</v>
      </c>
      <c r="M1" s="82" t="s">
        <v>59</v>
      </c>
      <c r="N1" s="82" t="s">
        <v>60</v>
      </c>
      <c r="O1" s="82" t="s">
        <v>61</v>
      </c>
      <c r="P1" s="82" t="s">
        <v>62</v>
      </c>
      <c r="Q1" s="82" t="s">
        <v>63</v>
      </c>
      <c r="R1" s="82" t="s">
        <v>64</v>
      </c>
      <c r="S1" s="82" t="s">
        <v>46</v>
      </c>
    </row>
    <row r="2" spans="1:19" ht="43.5">
      <c r="A2" s="35">
        <v>1</v>
      </c>
      <c r="B2" s="36" t="s">
        <v>1031</v>
      </c>
      <c r="C2" s="36" t="s">
        <v>1032</v>
      </c>
      <c r="D2" s="36" t="s">
        <v>315</v>
      </c>
      <c r="E2" s="36" t="s">
        <v>1033</v>
      </c>
      <c r="F2" s="24" t="s">
        <v>1034</v>
      </c>
      <c r="G2" s="4" t="s">
        <v>750</v>
      </c>
      <c r="H2" s="4" t="s">
        <v>1035</v>
      </c>
      <c r="I2" s="4" t="s">
        <v>1036</v>
      </c>
      <c r="J2" s="7" t="s">
        <v>1037</v>
      </c>
      <c r="K2" s="91"/>
      <c r="L2" s="12"/>
      <c r="M2" s="12"/>
      <c r="N2" s="12"/>
      <c r="O2" s="12"/>
      <c r="P2" s="12"/>
      <c r="Q2" s="12"/>
      <c r="R2" s="12"/>
      <c r="S2" s="12"/>
    </row>
    <row r="3" spans="1:19" ht="29.25">
      <c r="A3" s="35">
        <f>1+A2</f>
        <v>2</v>
      </c>
      <c r="B3" s="36" t="s">
        <v>1038</v>
      </c>
      <c r="C3" s="36" t="s">
        <v>1032</v>
      </c>
      <c r="D3" s="36" t="s">
        <v>315</v>
      </c>
      <c r="E3" s="36" t="s">
        <v>1039</v>
      </c>
      <c r="F3" s="24" t="s">
        <v>1040</v>
      </c>
      <c r="G3" s="4" t="s">
        <v>1041</v>
      </c>
      <c r="H3" s="4" t="s">
        <v>1042</v>
      </c>
      <c r="I3" s="4" t="s">
        <v>1043</v>
      </c>
      <c r="J3" s="7" t="s">
        <v>1044</v>
      </c>
      <c r="K3" s="91"/>
      <c r="L3" s="12"/>
      <c r="M3" s="12"/>
      <c r="N3" s="12"/>
      <c r="O3" s="12"/>
      <c r="P3" s="12"/>
      <c r="Q3" s="12"/>
      <c r="R3" s="12"/>
      <c r="S3" s="12"/>
    </row>
    <row r="4" spans="1:19" ht="29.25">
      <c r="A4" s="35">
        <f t="shared" ref="A4:A62" si="0">1+A3</f>
        <v>3</v>
      </c>
      <c r="B4" s="36" t="s">
        <v>1045</v>
      </c>
      <c r="C4" s="36" t="s">
        <v>1032</v>
      </c>
      <c r="D4" s="36" t="s">
        <v>315</v>
      </c>
      <c r="E4" s="36" t="s">
        <v>1046</v>
      </c>
      <c r="F4" s="24" t="s">
        <v>1047</v>
      </c>
      <c r="G4" s="4" t="s">
        <v>1048</v>
      </c>
      <c r="H4" s="4" t="s">
        <v>1049</v>
      </c>
      <c r="I4" s="4" t="s">
        <v>1050</v>
      </c>
      <c r="J4" s="7" t="s">
        <v>1044</v>
      </c>
      <c r="K4" s="91"/>
      <c r="L4" s="12"/>
      <c r="M4" s="12"/>
      <c r="N4" s="12"/>
      <c r="O4" s="12"/>
      <c r="P4" s="12"/>
      <c r="Q4" s="12"/>
      <c r="R4" s="12"/>
      <c r="S4" s="12"/>
    </row>
    <row r="5" spans="1:19" ht="29.25">
      <c r="A5" s="35">
        <f t="shared" si="0"/>
        <v>4</v>
      </c>
      <c r="B5" s="36" t="s">
        <v>1051</v>
      </c>
      <c r="C5" s="36" t="s">
        <v>1032</v>
      </c>
      <c r="D5" s="36" t="s">
        <v>315</v>
      </c>
      <c r="E5" s="36" t="s">
        <v>1052</v>
      </c>
      <c r="F5" s="24" t="s">
        <v>1053</v>
      </c>
      <c r="G5" s="4" t="s">
        <v>1054</v>
      </c>
      <c r="H5" s="4" t="s">
        <v>1055</v>
      </c>
      <c r="I5" s="4" t="s">
        <v>1056</v>
      </c>
      <c r="J5" s="7" t="s">
        <v>1044</v>
      </c>
      <c r="K5" s="91"/>
      <c r="L5" s="12"/>
      <c r="M5" s="12"/>
      <c r="N5" s="12"/>
      <c r="O5" s="12"/>
      <c r="P5" s="12"/>
      <c r="Q5" s="12"/>
      <c r="R5" s="12"/>
      <c r="S5" s="12"/>
    </row>
    <row r="6" spans="1:19" ht="29.25">
      <c r="A6" s="35">
        <f t="shared" si="0"/>
        <v>5</v>
      </c>
      <c r="B6" s="36" t="s">
        <v>1057</v>
      </c>
      <c r="C6" s="36" t="s">
        <v>1032</v>
      </c>
      <c r="D6" s="36" t="s">
        <v>315</v>
      </c>
      <c r="E6" s="36" t="s">
        <v>1058</v>
      </c>
      <c r="F6" s="24" t="s">
        <v>1059</v>
      </c>
      <c r="G6" s="4" t="s">
        <v>531</v>
      </c>
      <c r="H6" s="4" t="s">
        <v>1060</v>
      </c>
      <c r="I6" s="4" t="s">
        <v>1061</v>
      </c>
      <c r="J6" s="7" t="s">
        <v>1044</v>
      </c>
      <c r="K6" s="91"/>
      <c r="L6" s="12"/>
      <c r="M6" s="12"/>
      <c r="N6" s="12"/>
      <c r="O6" s="12"/>
      <c r="P6" s="12"/>
      <c r="Q6" s="12"/>
      <c r="R6" s="12"/>
      <c r="S6" s="12"/>
    </row>
    <row r="7" spans="1:19" ht="29.25">
      <c r="A7" s="35">
        <f t="shared" si="0"/>
        <v>6</v>
      </c>
      <c r="B7" s="36" t="s">
        <v>1062</v>
      </c>
      <c r="C7" s="36" t="s">
        <v>1032</v>
      </c>
      <c r="D7" s="36" t="s">
        <v>315</v>
      </c>
      <c r="E7" s="36" t="s">
        <v>1063</v>
      </c>
      <c r="F7" s="24" t="s">
        <v>1064</v>
      </c>
      <c r="G7" s="4" t="s">
        <v>764</v>
      </c>
      <c r="H7" s="4" t="s">
        <v>1065</v>
      </c>
      <c r="I7" s="4" t="s">
        <v>1066</v>
      </c>
      <c r="J7" s="7" t="s">
        <v>1044</v>
      </c>
      <c r="K7" s="91"/>
      <c r="L7" s="12"/>
      <c r="M7" s="12"/>
      <c r="N7" s="12"/>
      <c r="O7" s="12"/>
      <c r="P7" s="12"/>
      <c r="Q7" s="12"/>
      <c r="R7" s="12"/>
      <c r="S7" s="12"/>
    </row>
    <row r="8" spans="1:19" ht="29.25">
      <c r="A8" s="35">
        <f t="shared" si="0"/>
        <v>7</v>
      </c>
      <c r="B8" s="36" t="s">
        <v>1067</v>
      </c>
      <c r="C8" s="36" t="s">
        <v>1032</v>
      </c>
      <c r="D8" s="36" t="s">
        <v>616</v>
      </c>
      <c r="E8" s="36" t="s">
        <v>80</v>
      </c>
      <c r="F8" s="24" t="s">
        <v>1068</v>
      </c>
      <c r="G8" s="4" t="s">
        <v>1069</v>
      </c>
      <c r="H8" s="4" t="s">
        <v>1070</v>
      </c>
      <c r="I8" s="4" t="s">
        <v>1071</v>
      </c>
      <c r="J8" s="7" t="s">
        <v>1044</v>
      </c>
      <c r="K8" s="91"/>
      <c r="L8" s="12"/>
      <c r="M8" s="12"/>
      <c r="N8" s="12"/>
      <c r="O8" s="12"/>
      <c r="P8" s="12"/>
      <c r="Q8" s="12"/>
      <c r="R8" s="12"/>
      <c r="S8" s="12"/>
    </row>
    <row r="9" spans="1:19" ht="29.25">
      <c r="A9" s="35">
        <f t="shared" si="0"/>
        <v>8</v>
      </c>
      <c r="B9" s="36" t="s">
        <v>1072</v>
      </c>
      <c r="C9" s="36" t="s">
        <v>1032</v>
      </c>
      <c r="D9" s="36" t="s">
        <v>616</v>
      </c>
      <c r="E9" s="36" t="s">
        <v>1073</v>
      </c>
      <c r="F9" s="24" t="s">
        <v>1074</v>
      </c>
      <c r="G9" s="4" t="s">
        <v>110</v>
      </c>
      <c r="H9" s="4" t="s">
        <v>1075</v>
      </c>
      <c r="I9" s="4" t="s">
        <v>1076</v>
      </c>
      <c r="J9" s="7" t="s">
        <v>1044</v>
      </c>
      <c r="K9" s="91"/>
      <c r="L9" s="12"/>
      <c r="M9" s="12"/>
      <c r="N9" s="12"/>
      <c r="O9" s="12"/>
      <c r="P9" s="12"/>
      <c r="Q9" s="12"/>
      <c r="R9" s="12"/>
      <c r="S9" s="12"/>
    </row>
    <row r="10" spans="1:19" ht="72.75">
      <c r="A10" s="35">
        <f t="shared" si="0"/>
        <v>9</v>
      </c>
      <c r="B10" s="36" t="s">
        <v>1077</v>
      </c>
      <c r="C10" s="36" t="s">
        <v>1032</v>
      </c>
      <c r="D10" s="36" t="s">
        <v>315</v>
      </c>
      <c r="E10" s="36" t="s">
        <v>1078</v>
      </c>
      <c r="F10" s="24" t="s">
        <v>1079</v>
      </c>
      <c r="G10" s="4" t="s">
        <v>531</v>
      </c>
      <c r="H10" s="4" t="s">
        <v>1080</v>
      </c>
      <c r="I10" s="4" t="s">
        <v>1081</v>
      </c>
      <c r="J10" s="7"/>
      <c r="K10" s="91"/>
      <c r="L10" s="12"/>
      <c r="M10" s="12"/>
      <c r="N10" s="12"/>
      <c r="O10" s="12"/>
      <c r="P10" s="12"/>
      <c r="Q10" s="12"/>
      <c r="R10" s="12"/>
      <c r="S10" s="12"/>
    </row>
    <row r="11" spans="1:19" ht="72.75">
      <c r="A11" s="35">
        <f t="shared" si="0"/>
        <v>10</v>
      </c>
      <c r="B11" s="36" t="s">
        <v>1082</v>
      </c>
      <c r="C11" s="36" t="s">
        <v>1032</v>
      </c>
      <c r="D11" s="36" t="s">
        <v>315</v>
      </c>
      <c r="E11" s="36" t="s">
        <v>1083</v>
      </c>
      <c r="F11" s="24" t="s">
        <v>1084</v>
      </c>
      <c r="G11" s="4" t="s">
        <v>1085</v>
      </c>
      <c r="H11" s="4" t="s">
        <v>1086</v>
      </c>
      <c r="I11" s="4" t="s">
        <v>1087</v>
      </c>
      <c r="J11" s="7" t="s">
        <v>1044</v>
      </c>
      <c r="K11" s="91"/>
      <c r="L11" s="12"/>
      <c r="M11" s="12"/>
      <c r="N11" s="12"/>
      <c r="O11" s="12"/>
      <c r="P11" s="12"/>
      <c r="Q11" s="12"/>
      <c r="R11" s="12"/>
      <c r="S11" s="12"/>
    </row>
    <row r="12" spans="1:19" ht="72.75">
      <c r="A12" s="35">
        <f t="shared" si="0"/>
        <v>11</v>
      </c>
      <c r="B12" s="36" t="s">
        <v>1088</v>
      </c>
      <c r="C12" s="36" t="s">
        <v>1032</v>
      </c>
      <c r="D12" s="36" t="s">
        <v>315</v>
      </c>
      <c r="E12" s="36" t="s">
        <v>1089</v>
      </c>
      <c r="F12" s="24" t="s">
        <v>1090</v>
      </c>
      <c r="G12" s="4" t="s">
        <v>531</v>
      </c>
      <c r="H12" s="4" t="s">
        <v>1091</v>
      </c>
      <c r="I12" s="4" t="s">
        <v>1092</v>
      </c>
      <c r="J12" s="7" t="s">
        <v>1044</v>
      </c>
      <c r="K12" s="91"/>
      <c r="L12" s="12"/>
      <c r="M12" s="12"/>
      <c r="N12" s="12"/>
      <c r="O12" s="12"/>
      <c r="P12" s="12"/>
      <c r="Q12" s="12"/>
      <c r="R12" s="12"/>
      <c r="S12" s="12"/>
    </row>
    <row r="13" spans="1:19" ht="29.25">
      <c r="A13" s="35">
        <f t="shared" si="0"/>
        <v>12</v>
      </c>
      <c r="B13" s="36" t="s">
        <v>1093</v>
      </c>
      <c r="C13" s="36" t="s">
        <v>1032</v>
      </c>
      <c r="D13" s="36" t="s">
        <v>1094</v>
      </c>
      <c r="E13" s="36" t="s">
        <v>1095</v>
      </c>
      <c r="F13" s="24" t="s">
        <v>1096</v>
      </c>
      <c r="G13" s="4" t="s">
        <v>1097</v>
      </c>
      <c r="H13" s="4" t="s">
        <v>1098</v>
      </c>
      <c r="I13" s="4" t="s">
        <v>1099</v>
      </c>
      <c r="J13" s="7" t="s">
        <v>1044</v>
      </c>
      <c r="L13" s="12"/>
      <c r="M13" s="12"/>
      <c r="N13" s="12"/>
      <c r="O13" s="12"/>
      <c r="P13" s="12"/>
      <c r="Q13" s="12"/>
      <c r="R13" s="12"/>
      <c r="S13" s="12"/>
    </row>
    <row r="14" spans="1:19" ht="43.5">
      <c r="A14" s="35">
        <f t="shared" si="0"/>
        <v>13</v>
      </c>
      <c r="B14" s="36" t="s">
        <v>1100</v>
      </c>
      <c r="C14" s="36" t="s">
        <v>1032</v>
      </c>
      <c r="D14" s="36" t="s">
        <v>1094</v>
      </c>
      <c r="E14" s="36" t="s">
        <v>1101</v>
      </c>
      <c r="F14" s="24" t="s">
        <v>1102</v>
      </c>
      <c r="G14" s="4" t="s">
        <v>1103</v>
      </c>
      <c r="H14" s="4" t="s">
        <v>1104</v>
      </c>
      <c r="I14" s="4" t="s">
        <v>1105</v>
      </c>
      <c r="J14" s="7" t="s">
        <v>1044</v>
      </c>
      <c r="K14" s="91"/>
      <c r="L14" s="12"/>
      <c r="M14" s="12"/>
      <c r="N14" s="12"/>
      <c r="O14" s="12"/>
      <c r="P14" s="12"/>
      <c r="Q14" s="12"/>
      <c r="R14" s="12"/>
      <c r="S14" s="12"/>
    </row>
    <row r="15" spans="1:19" ht="29.25">
      <c r="A15" s="35">
        <f t="shared" si="0"/>
        <v>14</v>
      </c>
      <c r="B15" s="36" t="s">
        <v>1106</v>
      </c>
      <c r="C15" s="36" t="s">
        <v>616</v>
      </c>
      <c r="D15" s="65" t="s">
        <v>1094</v>
      </c>
      <c r="E15" s="65" t="s">
        <v>1107</v>
      </c>
      <c r="F15" s="24" t="s">
        <v>1108</v>
      </c>
      <c r="G15" s="4" t="s">
        <v>554</v>
      </c>
      <c r="H15" s="4" t="s">
        <v>1109</v>
      </c>
      <c r="I15" s="4" t="s">
        <v>1110</v>
      </c>
      <c r="J15" s="7" t="s">
        <v>1044</v>
      </c>
      <c r="K15" s="91"/>
      <c r="L15" s="12"/>
      <c r="M15" s="12"/>
      <c r="N15" s="12"/>
      <c r="O15" s="12"/>
      <c r="P15" s="12"/>
      <c r="Q15" s="12"/>
      <c r="R15" s="12"/>
      <c r="S15" s="12"/>
    </row>
    <row r="16" spans="1:19" ht="29.25">
      <c r="A16" s="35">
        <f t="shared" si="0"/>
        <v>15</v>
      </c>
      <c r="B16" s="36" t="s">
        <v>1111</v>
      </c>
      <c r="C16" s="36" t="s">
        <v>1032</v>
      </c>
      <c r="D16" s="36" t="s">
        <v>1094</v>
      </c>
      <c r="E16" s="36" t="s">
        <v>1112</v>
      </c>
      <c r="F16" s="24" t="s">
        <v>1113</v>
      </c>
      <c r="G16" s="4" t="s">
        <v>1114</v>
      </c>
      <c r="H16" s="4" t="s">
        <v>1115</v>
      </c>
      <c r="I16" s="4" t="s">
        <v>1116</v>
      </c>
      <c r="J16" s="7" t="s">
        <v>1044</v>
      </c>
      <c r="K16" s="91"/>
      <c r="L16" s="12"/>
      <c r="M16" s="12"/>
      <c r="N16" s="12"/>
      <c r="O16" s="12"/>
      <c r="P16" s="12"/>
      <c r="Q16" s="12"/>
      <c r="R16" s="12"/>
      <c r="S16" s="12"/>
    </row>
    <row r="17" spans="1:23" ht="29.25">
      <c r="A17" s="35">
        <f t="shared" si="0"/>
        <v>16</v>
      </c>
      <c r="B17" s="36" t="s">
        <v>1117</v>
      </c>
      <c r="C17" s="36" t="s">
        <v>1032</v>
      </c>
      <c r="D17" s="36" t="s">
        <v>616</v>
      </c>
      <c r="E17" s="36" t="s">
        <v>1118</v>
      </c>
      <c r="F17" s="24" t="s">
        <v>1119</v>
      </c>
      <c r="G17" s="4" t="s">
        <v>1120</v>
      </c>
      <c r="H17" s="4" t="s">
        <v>1121</v>
      </c>
      <c r="I17" s="4" t="s">
        <v>1122</v>
      </c>
      <c r="J17" s="7"/>
      <c r="K17" s="91"/>
      <c r="L17" s="12"/>
      <c r="M17" s="12"/>
      <c r="N17" s="12"/>
      <c r="O17" s="12"/>
      <c r="P17" s="12"/>
      <c r="Q17" s="12"/>
      <c r="R17" s="12"/>
      <c r="S17" s="12"/>
    </row>
    <row r="18" spans="1:23" ht="29.25">
      <c r="A18" s="35">
        <f t="shared" si="0"/>
        <v>17</v>
      </c>
      <c r="B18" s="36" t="s">
        <v>1123</v>
      </c>
      <c r="C18" s="36" t="s">
        <v>1032</v>
      </c>
      <c r="D18" s="36" t="s">
        <v>315</v>
      </c>
      <c r="E18" s="36" t="s">
        <v>188</v>
      </c>
      <c r="F18" s="24" t="s">
        <v>189</v>
      </c>
      <c r="G18" s="4" t="s">
        <v>110</v>
      </c>
      <c r="H18" s="4" t="s">
        <v>1124</v>
      </c>
      <c r="I18" s="4" t="s">
        <v>1125</v>
      </c>
      <c r="J18" s="7"/>
      <c r="K18" s="91"/>
      <c r="L18" s="12"/>
      <c r="M18" s="12"/>
      <c r="N18" s="12"/>
      <c r="O18" s="12"/>
      <c r="P18" s="12"/>
      <c r="Q18" s="12"/>
      <c r="R18" s="12"/>
      <c r="S18" s="12"/>
    </row>
    <row r="19" spans="1:23" ht="29.25">
      <c r="A19" s="35">
        <f t="shared" si="0"/>
        <v>18</v>
      </c>
      <c r="B19" s="36" t="s">
        <v>1126</v>
      </c>
      <c r="C19" s="36" t="s">
        <v>1032</v>
      </c>
      <c r="D19" s="36" t="s">
        <v>315</v>
      </c>
      <c r="E19" s="36" t="s">
        <v>1127</v>
      </c>
      <c r="F19" s="24" t="s">
        <v>1128</v>
      </c>
      <c r="G19" s="4" t="s">
        <v>531</v>
      </c>
      <c r="H19" s="4" t="s">
        <v>1129</v>
      </c>
      <c r="I19" s="4" t="s">
        <v>1130</v>
      </c>
      <c r="J19" s="7" t="s">
        <v>1044</v>
      </c>
      <c r="K19" s="91"/>
      <c r="L19" s="12"/>
      <c r="M19" s="12"/>
      <c r="N19" s="12"/>
      <c r="O19" s="12"/>
      <c r="P19" s="12"/>
      <c r="Q19" s="12"/>
      <c r="R19" s="12"/>
      <c r="S19" s="12"/>
    </row>
    <row r="20" spans="1:23" ht="29.25">
      <c r="A20" s="35">
        <f t="shared" si="0"/>
        <v>19</v>
      </c>
      <c r="B20" s="36" t="s">
        <v>1131</v>
      </c>
      <c r="C20" s="36" t="s">
        <v>1032</v>
      </c>
      <c r="D20" s="36" t="s">
        <v>315</v>
      </c>
      <c r="E20" s="36" t="s">
        <v>1132</v>
      </c>
      <c r="F20" s="24" t="s">
        <v>1133</v>
      </c>
      <c r="G20" s="4" t="s">
        <v>1134</v>
      </c>
      <c r="H20" s="4" t="s">
        <v>1135</v>
      </c>
      <c r="I20" s="4" t="s">
        <v>1136</v>
      </c>
      <c r="J20" s="7"/>
      <c r="K20" s="91"/>
      <c r="L20" s="12"/>
      <c r="M20" s="12"/>
      <c r="N20" s="12"/>
      <c r="O20" s="12"/>
      <c r="P20" s="12"/>
      <c r="Q20" s="12"/>
      <c r="R20" s="12"/>
      <c r="S20" s="12"/>
    </row>
    <row r="21" spans="1:23" ht="29.25">
      <c r="A21" s="35">
        <f t="shared" si="0"/>
        <v>20</v>
      </c>
      <c r="B21" s="36" t="s">
        <v>1137</v>
      </c>
      <c r="C21" s="36" t="s">
        <v>1032</v>
      </c>
      <c r="D21" s="36" t="s">
        <v>315</v>
      </c>
      <c r="E21" s="36" t="s">
        <v>1138</v>
      </c>
      <c r="F21" s="24" t="s">
        <v>1139</v>
      </c>
      <c r="G21" s="4" t="s">
        <v>1140</v>
      </c>
      <c r="H21" s="4" t="s">
        <v>1141</v>
      </c>
      <c r="I21" s="4" t="s">
        <v>1142</v>
      </c>
      <c r="J21" s="7"/>
      <c r="K21" s="91"/>
      <c r="L21" s="12"/>
      <c r="M21" s="12"/>
      <c r="N21" s="12"/>
      <c r="O21" s="12"/>
      <c r="P21" s="12"/>
      <c r="Q21" s="12"/>
      <c r="R21" s="12"/>
      <c r="S21" s="12"/>
    </row>
    <row r="22" spans="1:23" ht="29.25">
      <c r="A22" s="35">
        <f t="shared" si="0"/>
        <v>21</v>
      </c>
      <c r="B22" s="36" t="s">
        <v>1143</v>
      </c>
      <c r="C22" s="36" t="s">
        <v>1032</v>
      </c>
      <c r="D22" s="36" t="s">
        <v>315</v>
      </c>
      <c r="E22" s="36" t="s">
        <v>1144</v>
      </c>
      <c r="F22" s="24" t="s">
        <v>1145</v>
      </c>
      <c r="G22" s="4" t="s">
        <v>1048</v>
      </c>
      <c r="H22" s="4" t="s">
        <v>1146</v>
      </c>
      <c r="I22" s="4" t="s">
        <v>1147</v>
      </c>
      <c r="J22" s="7" t="s">
        <v>1044</v>
      </c>
      <c r="K22" s="91"/>
      <c r="L22" s="12"/>
      <c r="M22" s="12"/>
      <c r="N22" s="12"/>
      <c r="O22" s="12"/>
      <c r="P22" s="12"/>
      <c r="Q22" s="12"/>
      <c r="R22" s="12"/>
      <c r="S22" s="12"/>
    </row>
    <row r="23" spans="1:23" ht="29.25">
      <c r="A23" s="35">
        <f t="shared" si="0"/>
        <v>22</v>
      </c>
      <c r="B23" s="36" t="s">
        <v>1148</v>
      </c>
      <c r="C23" s="36" t="s">
        <v>1032</v>
      </c>
      <c r="D23" s="36" t="s">
        <v>616</v>
      </c>
      <c r="E23" s="36" t="s">
        <v>1149</v>
      </c>
      <c r="F23" s="24" t="s">
        <v>1150</v>
      </c>
      <c r="G23" s="4" t="s">
        <v>531</v>
      </c>
      <c r="H23" s="4" t="s">
        <v>1151</v>
      </c>
      <c r="I23" s="4" t="s">
        <v>1152</v>
      </c>
      <c r="J23" s="7"/>
      <c r="K23" s="91"/>
      <c r="L23" s="12"/>
      <c r="M23" s="12"/>
      <c r="N23" s="12"/>
      <c r="O23" s="12"/>
      <c r="P23" s="12"/>
      <c r="Q23" s="12"/>
      <c r="R23" s="12"/>
      <c r="S23" s="12"/>
    </row>
    <row r="24" spans="1:23" ht="29.25">
      <c r="A24" s="35">
        <f t="shared" si="0"/>
        <v>23</v>
      </c>
      <c r="B24" s="36" t="s">
        <v>1153</v>
      </c>
      <c r="C24" s="36" t="s">
        <v>1032</v>
      </c>
      <c r="D24" s="36" t="s">
        <v>616</v>
      </c>
      <c r="E24" s="36" t="s">
        <v>1154</v>
      </c>
      <c r="F24" s="24" t="s">
        <v>1155</v>
      </c>
      <c r="G24" s="4" t="s">
        <v>176</v>
      </c>
      <c r="H24" s="4" t="s">
        <v>1156</v>
      </c>
      <c r="I24" s="4" t="s">
        <v>1157</v>
      </c>
      <c r="J24" s="7" t="s">
        <v>1044</v>
      </c>
      <c r="L24" s="12"/>
      <c r="M24" s="12"/>
      <c r="N24" s="12"/>
      <c r="O24" s="12"/>
      <c r="P24" s="12"/>
      <c r="Q24" s="12"/>
      <c r="R24" s="12"/>
      <c r="S24" s="12"/>
    </row>
    <row r="25" spans="1:23" ht="29.25">
      <c r="A25" s="35">
        <f t="shared" si="0"/>
        <v>24</v>
      </c>
      <c r="B25" s="36" t="s">
        <v>1158</v>
      </c>
      <c r="C25" s="36" t="s">
        <v>1032</v>
      </c>
      <c r="D25" s="36" t="s">
        <v>315</v>
      </c>
      <c r="E25" s="36" t="s">
        <v>1159</v>
      </c>
      <c r="F25" s="24" t="s">
        <v>1160</v>
      </c>
      <c r="G25" s="4" t="s">
        <v>110</v>
      </c>
      <c r="H25" s="4" t="s">
        <v>1161</v>
      </c>
      <c r="I25" s="4" t="s">
        <v>1162</v>
      </c>
      <c r="J25" s="7"/>
      <c r="K25" s="91"/>
      <c r="L25" s="12"/>
      <c r="M25" s="12"/>
      <c r="N25" s="12"/>
      <c r="O25" s="12"/>
      <c r="P25" s="12"/>
      <c r="Q25" s="12"/>
      <c r="R25" s="12"/>
      <c r="S25" s="12"/>
    </row>
    <row r="26" spans="1:23" ht="29.25">
      <c r="A26" s="35">
        <f t="shared" si="0"/>
        <v>25</v>
      </c>
      <c r="B26" s="36" t="s">
        <v>1163</v>
      </c>
      <c r="C26" s="36" t="s">
        <v>1032</v>
      </c>
      <c r="D26" s="36" t="s">
        <v>315</v>
      </c>
      <c r="E26" s="36" t="s">
        <v>1164</v>
      </c>
      <c r="F26" s="24" t="s">
        <v>1165</v>
      </c>
      <c r="G26" s="4" t="s">
        <v>1166</v>
      </c>
      <c r="H26" s="4" t="s">
        <v>1167</v>
      </c>
      <c r="I26" s="4" t="s">
        <v>1168</v>
      </c>
      <c r="J26" s="7"/>
      <c r="K26" s="91"/>
      <c r="L26" s="12"/>
      <c r="M26" s="12"/>
      <c r="N26" s="12"/>
      <c r="O26" s="12"/>
      <c r="P26" s="12"/>
      <c r="Q26" s="12"/>
      <c r="R26" s="12"/>
      <c r="S26" s="12"/>
    </row>
    <row r="27" spans="1:23" ht="29.25">
      <c r="A27" s="35">
        <f t="shared" si="0"/>
        <v>26</v>
      </c>
      <c r="B27" s="36" t="s">
        <v>1169</v>
      </c>
      <c r="C27" s="36" t="s">
        <v>1032</v>
      </c>
      <c r="D27" s="36" t="s">
        <v>315</v>
      </c>
      <c r="E27" s="36" t="s">
        <v>1170</v>
      </c>
      <c r="F27" s="24" t="s">
        <v>1171</v>
      </c>
      <c r="G27" s="4" t="s">
        <v>764</v>
      </c>
      <c r="H27" s="4" t="s">
        <v>1172</v>
      </c>
      <c r="I27" s="4" t="s">
        <v>1173</v>
      </c>
      <c r="J27" s="7" t="s">
        <v>1044</v>
      </c>
      <c r="K27" s="91"/>
      <c r="L27" s="12"/>
      <c r="M27" s="12"/>
      <c r="N27" s="12"/>
      <c r="O27" s="12"/>
      <c r="P27" s="12"/>
      <c r="Q27" s="12"/>
      <c r="R27" s="12"/>
      <c r="S27" s="12"/>
    </row>
    <row r="28" spans="1:23" ht="29.25">
      <c r="A28" s="35">
        <f t="shared" si="0"/>
        <v>27</v>
      </c>
      <c r="B28" s="36" t="s">
        <v>1174</v>
      </c>
      <c r="C28" s="36" t="s">
        <v>1032</v>
      </c>
      <c r="D28" s="36" t="s">
        <v>315</v>
      </c>
      <c r="E28" s="36" t="s">
        <v>1175</v>
      </c>
      <c r="F28" s="24" t="s">
        <v>1176</v>
      </c>
      <c r="G28" s="4" t="s">
        <v>1177</v>
      </c>
      <c r="H28" s="4" t="s">
        <v>1178</v>
      </c>
      <c r="I28" s="4" t="s">
        <v>1179</v>
      </c>
      <c r="J28" s="7"/>
      <c r="K28" s="91"/>
      <c r="L28" s="12"/>
      <c r="M28" s="12"/>
      <c r="N28" s="12"/>
      <c r="O28" s="12"/>
      <c r="P28" s="12"/>
      <c r="Q28" s="12"/>
      <c r="R28" s="12"/>
      <c r="S28" s="12"/>
    </row>
    <row r="29" spans="1:23" ht="29.25">
      <c r="A29" s="35">
        <f t="shared" si="0"/>
        <v>28</v>
      </c>
      <c r="B29" s="36" t="s">
        <v>1180</v>
      </c>
      <c r="C29" s="36" t="s">
        <v>1032</v>
      </c>
      <c r="D29" s="36" t="s">
        <v>315</v>
      </c>
      <c r="E29" s="36" t="s">
        <v>1181</v>
      </c>
      <c r="F29" s="24" t="s">
        <v>1182</v>
      </c>
      <c r="G29" s="4" t="s">
        <v>795</v>
      </c>
      <c r="H29" s="4" t="s">
        <v>1183</v>
      </c>
      <c r="I29" s="4" t="s">
        <v>1184</v>
      </c>
      <c r="J29" s="7"/>
      <c r="K29" s="91"/>
      <c r="L29" s="12"/>
      <c r="M29" s="12"/>
      <c r="N29" s="12"/>
      <c r="O29" s="12"/>
      <c r="P29" s="12"/>
      <c r="Q29" s="12"/>
      <c r="R29" s="12"/>
      <c r="S29" s="12"/>
    </row>
    <row r="30" spans="1:23" ht="29.25">
      <c r="A30" s="35">
        <f t="shared" si="0"/>
        <v>29</v>
      </c>
      <c r="B30" s="36" t="s">
        <v>1185</v>
      </c>
      <c r="C30" s="36" t="s">
        <v>1032</v>
      </c>
      <c r="D30" s="36" t="s">
        <v>315</v>
      </c>
      <c r="E30" s="36" t="s">
        <v>1186</v>
      </c>
      <c r="F30" s="24" t="s">
        <v>1187</v>
      </c>
      <c r="G30" s="4" t="s">
        <v>1048</v>
      </c>
      <c r="H30" s="4" t="s">
        <v>1188</v>
      </c>
      <c r="I30" s="4" t="s">
        <v>1189</v>
      </c>
      <c r="J30" s="7"/>
      <c r="K30" s="91"/>
      <c r="L30" s="12"/>
      <c r="M30" s="12"/>
      <c r="N30" s="12"/>
      <c r="O30" s="12"/>
      <c r="P30" s="12"/>
      <c r="Q30" s="12"/>
      <c r="R30" s="12"/>
      <c r="S30" s="12"/>
    </row>
    <row r="31" spans="1:23" ht="43.5">
      <c r="A31" s="35">
        <f t="shared" si="0"/>
        <v>30</v>
      </c>
      <c r="B31" s="36" t="s">
        <v>1190</v>
      </c>
      <c r="C31" s="36" t="s">
        <v>1032</v>
      </c>
      <c r="D31" s="36" t="s">
        <v>616</v>
      </c>
      <c r="E31" s="36" t="s">
        <v>1191</v>
      </c>
      <c r="F31" s="51" t="s">
        <v>1192</v>
      </c>
      <c r="G31" s="16" t="s">
        <v>847</v>
      </c>
      <c r="H31" s="16" t="s">
        <v>1193</v>
      </c>
      <c r="I31" s="16" t="s">
        <v>1194</v>
      </c>
      <c r="J31" s="17"/>
      <c r="K31" s="92"/>
      <c r="L31" s="12"/>
      <c r="M31" s="12"/>
      <c r="N31" s="12"/>
      <c r="O31" s="12"/>
      <c r="P31" s="12"/>
      <c r="Q31" s="12"/>
      <c r="R31" s="12"/>
      <c r="S31" s="12"/>
    </row>
    <row r="32" spans="1:23" ht="57.75">
      <c r="A32" s="35">
        <f t="shared" si="0"/>
        <v>31</v>
      </c>
      <c r="B32" s="36" t="s">
        <v>1195</v>
      </c>
      <c r="C32" s="36" t="s">
        <v>1032</v>
      </c>
      <c r="D32" s="36" t="s">
        <v>315</v>
      </c>
      <c r="E32" s="36" t="s">
        <v>1196</v>
      </c>
      <c r="F32" s="49" t="s">
        <v>1197</v>
      </c>
      <c r="G32" s="18" t="s">
        <v>1198</v>
      </c>
      <c r="H32" s="18" t="s">
        <v>1199</v>
      </c>
      <c r="I32" s="18" t="s">
        <v>1200</v>
      </c>
      <c r="J32" s="18" t="s">
        <v>1044</v>
      </c>
      <c r="K32" s="58"/>
      <c r="L32" s="61"/>
      <c r="M32" s="61"/>
      <c r="N32" s="61"/>
      <c r="O32" s="61"/>
      <c r="P32" s="61"/>
      <c r="Q32" s="35"/>
      <c r="R32" s="35"/>
      <c r="S32" s="35"/>
      <c r="T32" s="14"/>
      <c r="U32" s="14"/>
      <c r="V32" s="14"/>
      <c r="W32" s="14"/>
    </row>
    <row r="33" spans="1:23" ht="57.75">
      <c r="A33" s="35">
        <f t="shared" si="0"/>
        <v>32</v>
      </c>
      <c r="B33" s="36" t="s">
        <v>1201</v>
      </c>
      <c r="C33" s="36" t="s">
        <v>1032</v>
      </c>
      <c r="D33" s="36" t="s">
        <v>315</v>
      </c>
      <c r="E33" s="36" t="s">
        <v>1202</v>
      </c>
      <c r="F33" s="49" t="s">
        <v>1203</v>
      </c>
      <c r="G33" s="18" t="s">
        <v>1204</v>
      </c>
      <c r="H33" s="18" t="s">
        <v>1205</v>
      </c>
      <c r="I33" s="18" t="s">
        <v>1206</v>
      </c>
      <c r="J33" s="18" t="s">
        <v>1044</v>
      </c>
      <c r="K33" s="58"/>
      <c r="L33" s="61"/>
      <c r="M33" s="61"/>
      <c r="N33" s="61"/>
      <c r="O33" s="61"/>
      <c r="P33" s="61"/>
      <c r="Q33" s="35"/>
      <c r="R33" s="35"/>
      <c r="S33" s="35"/>
      <c r="T33" s="14"/>
      <c r="U33" s="14"/>
      <c r="V33" s="14"/>
      <c r="W33" s="14"/>
    </row>
    <row r="34" spans="1:23" ht="72.75">
      <c r="A34" s="35">
        <f t="shared" si="0"/>
        <v>33</v>
      </c>
      <c r="B34" s="36" t="s">
        <v>1207</v>
      </c>
      <c r="C34" s="36" t="s">
        <v>1032</v>
      </c>
      <c r="D34" s="36" t="s">
        <v>616</v>
      </c>
      <c r="E34" s="36" t="s">
        <v>1208</v>
      </c>
      <c r="F34" s="49" t="s">
        <v>1209</v>
      </c>
      <c r="G34" s="18" t="s">
        <v>1210</v>
      </c>
      <c r="H34" s="18" t="s">
        <v>1211</v>
      </c>
      <c r="I34" s="18" t="s">
        <v>1212</v>
      </c>
      <c r="J34" s="18"/>
      <c r="K34" s="58"/>
      <c r="L34" s="61"/>
      <c r="M34" s="61"/>
      <c r="N34" s="61"/>
      <c r="O34" s="61"/>
      <c r="P34" s="61"/>
      <c r="Q34" s="35"/>
      <c r="R34" s="35"/>
      <c r="S34" s="35"/>
      <c r="T34" s="14"/>
      <c r="U34" s="14"/>
      <c r="V34" s="14"/>
      <c r="W34" s="14"/>
    </row>
    <row r="35" spans="1:23" ht="57.75">
      <c r="A35" s="35">
        <f t="shared" si="0"/>
        <v>34</v>
      </c>
      <c r="B35" s="36" t="s">
        <v>1213</v>
      </c>
      <c r="C35" s="36" t="s">
        <v>1032</v>
      </c>
      <c r="D35" s="36" t="s">
        <v>315</v>
      </c>
      <c r="E35" s="36" t="s">
        <v>1214</v>
      </c>
      <c r="F35" s="49" t="s">
        <v>1215</v>
      </c>
      <c r="G35" s="18" t="s">
        <v>1216</v>
      </c>
      <c r="H35" s="18" t="s">
        <v>1217</v>
      </c>
      <c r="I35" s="18" t="s">
        <v>1218</v>
      </c>
      <c r="J35" s="18" t="s">
        <v>1044</v>
      </c>
      <c r="K35" s="58"/>
      <c r="L35" s="61"/>
      <c r="M35" s="61"/>
      <c r="N35" s="61"/>
      <c r="O35" s="61"/>
      <c r="P35" s="61"/>
      <c r="Q35" s="35"/>
      <c r="R35" s="35"/>
      <c r="S35" s="35"/>
      <c r="T35" s="14"/>
      <c r="U35" s="14"/>
      <c r="V35" s="14"/>
      <c r="W35" s="14"/>
    </row>
    <row r="36" spans="1:23" ht="43.5">
      <c r="A36" s="35">
        <f t="shared" si="0"/>
        <v>35</v>
      </c>
      <c r="B36" s="36" t="s">
        <v>1219</v>
      </c>
      <c r="C36" s="36" t="s">
        <v>1032</v>
      </c>
      <c r="D36" s="36" t="s">
        <v>315</v>
      </c>
      <c r="E36" s="36" t="s">
        <v>1220</v>
      </c>
      <c r="F36" s="49" t="s">
        <v>1221</v>
      </c>
      <c r="G36" s="18" t="s">
        <v>1198</v>
      </c>
      <c r="H36" s="18" t="s">
        <v>1222</v>
      </c>
      <c r="I36" s="18" t="s">
        <v>1223</v>
      </c>
      <c r="J36" s="18"/>
      <c r="K36" s="58"/>
      <c r="L36" s="61"/>
      <c r="M36" s="61"/>
      <c r="N36" s="61"/>
      <c r="O36" s="61"/>
      <c r="P36" s="61"/>
      <c r="Q36" s="35"/>
      <c r="R36" s="35"/>
      <c r="S36" s="35"/>
      <c r="T36" s="14"/>
      <c r="U36" s="14"/>
      <c r="V36" s="14"/>
      <c r="W36" s="14"/>
    </row>
    <row r="37" spans="1:23" ht="43.5">
      <c r="A37" s="35">
        <f t="shared" si="0"/>
        <v>36</v>
      </c>
      <c r="B37" s="36" t="s">
        <v>1224</v>
      </c>
      <c r="C37" s="36" t="s">
        <v>1032</v>
      </c>
      <c r="D37" s="36" t="s">
        <v>616</v>
      </c>
      <c r="E37" s="36" t="s">
        <v>1225</v>
      </c>
      <c r="F37" s="49" t="s">
        <v>1226</v>
      </c>
      <c r="G37" s="18" t="s">
        <v>82</v>
      </c>
      <c r="H37" s="18" t="s">
        <v>1227</v>
      </c>
      <c r="I37" s="18" t="s">
        <v>1228</v>
      </c>
      <c r="J37" s="18"/>
      <c r="K37" s="58"/>
      <c r="L37" s="61"/>
      <c r="M37" s="61"/>
      <c r="N37" s="61"/>
      <c r="O37" s="61"/>
      <c r="P37" s="61"/>
      <c r="Q37" s="35"/>
      <c r="R37" s="35"/>
      <c r="S37" s="35"/>
      <c r="T37" s="14"/>
      <c r="U37" s="14"/>
      <c r="V37" s="14"/>
      <c r="W37" s="14"/>
    </row>
    <row r="38" spans="1:23" ht="43.5">
      <c r="A38" s="35">
        <f t="shared" si="0"/>
        <v>37</v>
      </c>
      <c r="B38" s="36" t="s">
        <v>1229</v>
      </c>
      <c r="C38" s="36" t="s">
        <v>1032</v>
      </c>
      <c r="D38" s="36" t="s">
        <v>315</v>
      </c>
      <c r="E38" s="36" t="s">
        <v>1230</v>
      </c>
      <c r="F38" s="49" t="s">
        <v>1231</v>
      </c>
      <c r="G38" s="18" t="s">
        <v>1232</v>
      </c>
      <c r="H38" s="18" t="s">
        <v>1233</v>
      </c>
      <c r="I38" s="18" t="s">
        <v>1234</v>
      </c>
      <c r="J38" s="18"/>
      <c r="K38" s="58"/>
      <c r="L38" s="61"/>
      <c r="M38" s="61"/>
      <c r="N38" s="61"/>
      <c r="O38" s="61"/>
      <c r="P38" s="61"/>
      <c r="Q38" s="35"/>
      <c r="R38" s="35"/>
      <c r="S38" s="35"/>
      <c r="T38" s="14"/>
      <c r="U38" s="14"/>
      <c r="V38" s="14"/>
      <c r="W38" s="14"/>
    </row>
    <row r="39" spans="1:23" ht="43.5">
      <c r="A39" s="35">
        <f t="shared" si="0"/>
        <v>38</v>
      </c>
      <c r="B39" s="36" t="s">
        <v>1235</v>
      </c>
      <c r="C39" s="36" t="s">
        <v>1032</v>
      </c>
      <c r="D39" s="36" t="s">
        <v>315</v>
      </c>
      <c r="E39" s="36" t="s">
        <v>1236</v>
      </c>
      <c r="F39" s="49" t="s">
        <v>1237</v>
      </c>
      <c r="G39" s="18" t="s">
        <v>1238</v>
      </c>
      <c r="H39" s="18" t="s">
        <v>1239</v>
      </c>
      <c r="I39" s="18" t="s">
        <v>1240</v>
      </c>
      <c r="J39" s="18"/>
      <c r="K39" s="58"/>
      <c r="L39" s="61"/>
      <c r="M39" s="61"/>
      <c r="N39" s="61"/>
      <c r="O39" s="61"/>
      <c r="P39" s="61"/>
      <c r="Q39" s="35"/>
      <c r="R39" s="35"/>
      <c r="S39" s="35"/>
      <c r="T39" s="14"/>
      <c r="U39" s="14"/>
      <c r="V39" s="14"/>
      <c r="W39" s="14"/>
    </row>
    <row r="40" spans="1:23" ht="43.5">
      <c r="A40" s="35">
        <f t="shared" si="0"/>
        <v>39</v>
      </c>
      <c r="B40" s="36" t="s">
        <v>1241</v>
      </c>
      <c r="C40" s="36" t="s">
        <v>1032</v>
      </c>
      <c r="D40" s="36" t="s">
        <v>616</v>
      </c>
      <c r="E40" s="36" t="s">
        <v>1242</v>
      </c>
      <c r="F40" s="49" t="s">
        <v>1243</v>
      </c>
      <c r="G40" s="18" t="s">
        <v>110</v>
      </c>
      <c r="H40" s="18" t="s">
        <v>1244</v>
      </c>
      <c r="I40" s="18" t="s">
        <v>1245</v>
      </c>
      <c r="J40" s="18"/>
      <c r="K40" s="58"/>
      <c r="L40" s="61"/>
      <c r="M40" s="61"/>
      <c r="N40" s="61"/>
      <c r="O40" s="61"/>
      <c r="P40" s="61"/>
      <c r="Q40" s="35"/>
      <c r="R40" s="35"/>
      <c r="S40" s="35"/>
      <c r="T40" s="14"/>
      <c r="U40" s="14"/>
      <c r="V40" s="14"/>
      <c r="W40" s="14"/>
    </row>
    <row r="41" spans="1:23" ht="57.75">
      <c r="A41" s="35">
        <f t="shared" si="0"/>
        <v>40</v>
      </c>
      <c r="B41" s="36" t="s">
        <v>1246</v>
      </c>
      <c r="C41" s="36" t="s">
        <v>1032</v>
      </c>
      <c r="D41" s="36" t="s">
        <v>315</v>
      </c>
      <c r="E41" s="36" t="s">
        <v>1247</v>
      </c>
      <c r="F41" s="49" t="s">
        <v>1248</v>
      </c>
      <c r="G41" s="18" t="s">
        <v>1249</v>
      </c>
      <c r="H41" s="18" t="s">
        <v>1250</v>
      </c>
      <c r="I41" s="18" t="s">
        <v>1251</v>
      </c>
      <c r="J41" s="18" t="s">
        <v>1044</v>
      </c>
      <c r="K41" s="58"/>
      <c r="L41" s="61"/>
      <c r="M41" s="61"/>
      <c r="N41" s="61"/>
      <c r="O41" s="61"/>
      <c r="P41" s="61"/>
      <c r="Q41" s="35"/>
      <c r="R41" s="35"/>
      <c r="S41" s="35"/>
      <c r="T41" s="14"/>
      <c r="U41" s="14"/>
      <c r="V41" s="14"/>
      <c r="W41" s="14"/>
    </row>
    <row r="42" spans="1:23" ht="57.75">
      <c r="A42" s="35">
        <f t="shared" si="0"/>
        <v>41</v>
      </c>
      <c r="B42" s="36" t="s">
        <v>1252</v>
      </c>
      <c r="C42" s="36" t="s">
        <v>1032</v>
      </c>
      <c r="D42" s="36" t="s">
        <v>315</v>
      </c>
      <c r="E42" s="36" t="s">
        <v>1253</v>
      </c>
      <c r="F42" s="49" t="s">
        <v>1254</v>
      </c>
      <c r="G42" s="18" t="s">
        <v>1238</v>
      </c>
      <c r="H42" s="18" t="s">
        <v>1255</v>
      </c>
      <c r="I42" s="18" t="s">
        <v>1256</v>
      </c>
      <c r="J42" s="18"/>
      <c r="K42" s="58"/>
      <c r="L42" s="61"/>
      <c r="M42" s="61"/>
      <c r="N42" s="61"/>
      <c r="O42" s="61"/>
      <c r="P42" s="61"/>
      <c r="Q42" s="35"/>
      <c r="R42" s="35"/>
      <c r="S42" s="35"/>
      <c r="T42" s="14"/>
      <c r="U42" s="14"/>
      <c r="V42" s="14"/>
      <c r="W42" s="14"/>
    </row>
    <row r="43" spans="1:23" ht="43.5">
      <c r="A43" s="35">
        <f t="shared" si="0"/>
        <v>42</v>
      </c>
      <c r="B43" s="36" t="s">
        <v>1257</v>
      </c>
      <c r="C43" s="36" t="s">
        <v>1032</v>
      </c>
      <c r="D43" s="36" t="s">
        <v>315</v>
      </c>
      <c r="E43" s="36" t="s">
        <v>1258</v>
      </c>
      <c r="F43" s="49" t="s">
        <v>1259</v>
      </c>
      <c r="G43" s="18" t="s">
        <v>1260</v>
      </c>
      <c r="H43" s="18" t="s">
        <v>1261</v>
      </c>
      <c r="I43" s="18" t="s">
        <v>1262</v>
      </c>
      <c r="J43" s="18"/>
      <c r="K43" s="58"/>
      <c r="L43" s="61"/>
      <c r="M43" s="61"/>
      <c r="N43" s="61"/>
      <c r="O43" s="61"/>
      <c r="P43" s="61"/>
      <c r="Q43" s="35"/>
      <c r="R43" s="35"/>
      <c r="S43" s="35"/>
      <c r="T43" s="14"/>
      <c r="U43" s="14"/>
      <c r="V43" s="14"/>
      <c r="W43" s="14"/>
    </row>
    <row r="44" spans="1:23" ht="43.5">
      <c r="A44" s="35">
        <f t="shared" si="0"/>
        <v>43</v>
      </c>
      <c r="B44" s="36" t="s">
        <v>1263</v>
      </c>
      <c r="C44" s="36" t="s">
        <v>1032</v>
      </c>
      <c r="D44" s="36" t="s">
        <v>315</v>
      </c>
      <c r="E44" s="36" t="s">
        <v>244</v>
      </c>
      <c r="F44" s="49" t="s">
        <v>1264</v>
      </c>
      <c r="G44" s="18" t="s">
        <v>1265</v>
      </c>
      <c r="H44" s="18" t="s">
        <v>1266</v>
      </c>
      <c r="I44" s="18" t="s">
        <v>1267</v>
      </c>
      <c r="J44" s="18"/>
      <c r="K44" s="58"/>
      <c r="L44" s="61"/>
      <c r="M44" s="61"/>
      <c r="N44" s="61"/>
      <c r="O44" s="61"/>
      <c r="P44" s="61"/>
      <c r="Q44" s="35"/>
      <c r="R44" s="35"/>
      <c r="S44" s="35"/>
      <c r="T44" s="14"/>
      <c r="U44" s="14"/>
      <c r="V44" s="14"/>
      <c r="W44" s="14"/>
    </row>
    <row r="45" spans="1:23" ht="43.5">
      <c r="A45" s="35">
        <f t="shared" si="0"/>
        <v>44</v>
      </c>
      <c r="B45" s="36" t="s">
        <v>1268</v>
      </c>
      <c r="C45" s="36" t="s">
        <v>1032</v>
      </c>
      <c r="D45" s="36" t="s">
        <v>315</v>
      </c>
      <c r="E45" s="36" t="s">
        <v>250</v>
      </c>
      <c r="F45" s="49" t="s">
        <v>1269</v>
      </c>
      <c r="G45" s="18" t="s">
        <v>1270</v>
      </c>
      <c r="H45" s="18" t="s">
        <v>1271</v>
      </c>
      <c r="I45" s="18" t="s">
        <v>1272</v>
      </c>
      <c r="J45" s="18"/>
      <c r="K45" s="58"/>
      <c r="L45" s="61"/>
      <c r="M45" s="61"/>
      <c r="N45" s="61"/>
      <c r="O45" s="61"/>
      <c r="P45" s="61"/>
      <c r="Q45" s="35"/>
      <c r="R45" s="35"/>
      <c r="S45" s="35"/>
      <c r="T45" s="14"/>
      <c r="U45" s="14"/>
      <c r="V45" s="14"/>
      <c r="W45" s="14"/>
    </row>
    <row r="46" spans="1:23" ht="57.75">
      <c r="A46" s="35">
        <f t="shared" si="0"/>
        <v>45</v>
      </c>
      <c r="B46" s="36" t="s">
        <v>1273</v>
      </c>
      <c r="C46" s="36" t="s">
        <v>616</v>
      </c>
      <c r="D46" s="36" t="s">
        <v>616</v>
      </c>
      <c r="E46" s="36" t="s">
        <v>1274</v>
      </c>
      <c r="F46" s="49" t="s">
        <v>1275</v>
      </c>
      <c r="G46" s="18" t="s">
        <v>1210</v>
      </c>
      <c r="H46" s="18" t="s">
        <v>1276</v>
      </c>
      <c r="I46" s="18" t="s">
        <v>1277</v>
      </c>
      <c r="J46" s="18"/>
      <c r="K46" s="58"/>
      <c r="L46" s="61"/>
      <c r="M46" s="61"/>
      <c r="N46" s="61"/>
      <c r="O46" s="61"/>
      <c r="P46" s="61"/>
      <c r="Q46" s="35"/>
      <c r="R46" s="35"/>
      <c r="S46" s="35"/>
      <c r="T46" s="14"/>
      <c r="U46" s="14"/>
      <c r="V46" s="14"/>
      <c r="W46" s="14"/>
    </row>
    <row r="47" spans="1:23" ht="43.5">
      <c r="A47" s="35">
        <f t="shared" si="0"/>
        <v>46</v>
      </c>
      <c r="B47" s="36" t="s">
        <v>1278</v>
      </c>
      <c r="C47" s="36" t="s">
        <v>1032</v>
      </c>
      <c r="D47" s="36" t="s">
        <v>315</v>
      </c>
      <c r="E47" s="36" t="s">
        <v>1279</v>
      </c>
      <c r="F47" s="49" t="s">
        <v>1280</v>
      </c>
      <c r="G47" s="18" t="s">
        <v>1281</v>
      </c>
      <c r="H47" s="18" t="s">
        <v>1282</v>
      </c>
      <c r="I47" s="18" t="s">
        <v>1283</v>
      </c>
      <c r="J47" s="18"/>
      <c r="K47" s="58"/>
      <c r="L47" s="61"/>
      <c r="M47" s="61"/>
      <c r="N47" s="61"/>
      <c r="O47" s="61"/>
      <c r="P47" s="61"/>
      <c r="Q47" s="35"/>
      <c r="R47" s="35"/>
      <c r="S47" s="35"/>
      <c r="T47" s="14"/>
      <c r="U47" s="14"/>
      <c r="V47" s="14"/>
      <c r="W47" s="14"/>
    </row>
    <row r="48" spans="1:23" ht="57.75">
      <c r="A48" s="35">
        <f t="shared" si="0"/>
        <v>47</v>
      </c>
      <c r="B48" s="36" t="s">
        <v>933</v>
      </c>
      <c r="C48" s="36" t="s">
        <v>1032</v>
      </c>
      <c r="D48" s="36" t="s">
        <v>315</v>
      </c>
      <c r="E48" s="36" t="s">
        <v>1284</v>
      </c>
      <c r="F48" s="49" t="s">
        <v>1285</v>
      </c>
      <c r="G48" s="18" t="s">
        <v>1286</v>
      </c>
      <c r="H48" s="18" t="s">
        <v>1287</v>
      </c>
      <c r="I48" s="18" t="s">
        <v>1288</v>
      </c>
      <c r="J48" s="18"/>
      <c r="K48" s="58"/>
      <c r="L48" s="61"/>
      <c r="M48" s="61"/>
      <c r="N48" s="61"/>
      <c r="O48" s="61"/>
      <c r="P48" s="61"/>
      <c r="Q48" s="35"/>
      <c r="R48" s="35"/>
      <c r="S48" s="35"/>
      <c r="T48" s="14"/>
      <c r="U48" s="14"/>
      <c r="V48" s="14"/>
      <c r="W48" s="14"/>
    </row>
    <row r="49" spans="1:40" ht="43.5">
      <c r="A49" s="35">
        <f t="shared" si="0"/>
        <v>48</v>
      </c>
      <c r="B49" s="36" t="s">
        <v>940</v>
      </c>
      <c r="C49" s="36" t="s">
        <v>1032</v>
      </c>
      <c r="D49" s="36" t="s">
        <v>315</v>
      </c>
      <c r="E49" s="36" t="s">
        <v>1289</v>
      </c>
      <c r="F49" s="49" t="s">
        <v>1290</v>
      </c>
      <c r="G49" s="18" t="s">
        <v>1291</v>
      </c>
      <c r="H49" s="18" t="s">
        <v>1292</v>
      </c>
      <c r="I49" s="18" t="s">
        <v>1293</v>
      </c>
      <c r="J49" s="18"/>
      <c r="K49" s="58"/>
      <c r="L49" s="61"/>
      <c r="M49" s="61"/>
      <c r="N49" s="61"/>
      <c r="O49" s="61"/>
      <c r="P49" s="61"/>
      <c r="Q49" s="35"/>
      <c r="R49" s="35"/>
      <c r="S49" s="35"/>
      <c r="T49" s="14"/>
      <c r="U49" s="14"/>
      <c r="V49" s="14"/>
      <c r="W49" s="14"/>
    </row>
    <row r="50" spans="1:40" ht="57.75">
      <c r="A50" s="35">
        <f t="shared" si="0"/>
        <v>49</v>
      </c>
      <c r="B50" s="36" t="s">
        <v>947</v>
      </c>
      <c r="C50" s="36" t="s">
        <v>1032</v>
      </c>
      <c r="D50" s="36" t="s">
        <v>616</v>
      </c>
      <c r="E50" s="36" t="s">
        <v>1294</v>
      </c>
      <c r="F50" s="49" t="s">
        <v>1295</v>
      </c>
      <c r="G50" s="18" t="s">
        <v>1296</v>
      </c>
      <c r="H50" s="18" t="s">
        <v>1297</v>
      </c>
      <c r="I50" s="18" t="s">
        <v>1298</v>
      </c>
      <c r="J50" s="18"/>
      <c r="K50" s="58"/>
      <c r="L50" s="61"/>
      <c r="M50" s="61"/>
      <c r="N50" s="61"/>
      <c r="O50" s="61"/>
      <c r="P50" s="61"/>
      <c r="Q50" s="35"/>
      <c r="R50" s="35"/>
      <c r="S50" s="35"/>
      <c r="T50" s="14"/>
      <c r="U50" s="14"/>
      <c r="V50" s="14"/>
      <c r="W50" s="14"/>
    </row>
    <row r="51" spans="1:40" ht="57.75">
      <c r="A51" s="35">
        <f t="shared" si="0"/>
        <v>50</v>
      </c>
      <c r="B51" s="36" t="s">
        <v>954</v>
      </c>
      <c r="C51" s="36" t="s">
        <v>1032</v>
      </c>
      <c r="D51" s="36" t="s">
        <v>616</v>
      </c>
      <c r="E51" s="36" t="s">
        <v>1299</v>
      </c>
      <c r="F51" s="49" t="s">
        <v>1300</v>
      </c>
      <c r="G51" s="18" t="s">
        <v>110</v>
      </c>
      <c r="H51" s="18" t="s">
        <v>1301</v>
      </c>
      <c r="I51" s="18" t="s">
        <v>1302</v>
      </c>
      <c r="J51" s="18"/>
      <c r="K51" s="58"/>
      <c r="L51" s="61"/>
      <c r="M51" s="61"/>
      <c r="N51" s="61"/>
      <c r="O51" s="61"/>
      <c r="P51" s="61"/>
      <c r="Q51" s="35"/>
      <c r="R51" s="35"/>
      <c r="S51" s="35"/>
      <c r="T51" s="14"/>
      <c r="U51" s="14"/>
      <c r="V51" s="14"/>
      <c r="W51" s="14"/>
    </row>
    <row r="52" spans="1:40" ht="57.75">
      <c r="A52" s="35">
        <f t="shared" si="0"/>
        <v>51</v>
      </c>
      <c r="B52" s="36" t="s">
        <v>961</v>
      </c>
      <c r="C52" s="36" t="s">
        <v>1032</v>
      </c>
      <c r="D52" s="36" t="s">
        <v>616</v>
      </c>
      <c r="E52" s="36" t="s">
        <v>1303</v>
      </c>
      <c r="F52" s="49" t="s">
        <v>1304</v>
      </c>
      <c r="G52" s="18" t="s">
        <v>1305</v>
      </c>
      <c r="H52" s="18" t="s">
        <v>1306</v>
      </c>
      <c r="I52" s="18" t="s">
        <v>1307</v>
      </c>
      <c r="J52" s="18"/>
      <c r="K52" s="58"/>
      <c r="L52" s="61"/>
      <c r="M52" s="61"/>
      <c r="N52" s="61"/>
      <c r="O52" s="61"/>
      <c r="P52" s="61"/>
      <c r="Q52" s="35"/>
      <c r="R52" s="35"/>
      <c r="S52" s="35"/>
      <c r="T52" s="14"/>
      <c r="U52" s="14"/>
      <c r="V52" s="14"/>
      <c r="W52" s="14"/>
    </row>
    <row r="53" spans="1:40" ht="43.5">
      <c r="A53" s="35">
        <f t="shared" si="0"/>
        <v>52</v>
      </c>
      <c r="B53" s="36" t="s">
        <v>968</v>
      </c>
      <c r="C53" s="36" t="s">
        <v>1032</v>
      </c>
      <c r="D53" s="36" t="s">
        <v>315</v>
      </c>
      <c r="E53" s="36" t="s">
        <v>1308</v>
      </c>
      <c r="F53" s="49" t="s">
        <v>1309</v>
      </c>
      <c r="G53" s="18" t="s">
        <v>1204</v>
      </c>
      <c r="H53" s="18" t="s">
        <v>1310</v>
      </c>
      <c r="I53" s="18" t="s">
        <v>1311</v>
      </c>
      <c r="J53" s="18"/>
      <c r="K53" s="58"/>
      <c r="L53" s="61"/>
      <c r="M53" s="61"/>
      <c r="N53" s="61"/>
      <c r="O53" s="61"/>
      <c r="P53" s="61"/>
      <c r="Q53" s="35"/>
      <c r="R53" s="35"/>
      <c r="S53" s="35"/>
      <c r="T53" s="14"/>
      <c r="U53" s="14"/>
      <c r="V53" s="14"/>
      <c r="W53" s="14"/>
    </row>
    <row r="54" spans="1:40" ht="43.5">
      <c r="A54" s="35">
        <f t="shared" si="0"/>
        <v>53</v>
      </c>
      <c r="B54" s="36" t="s">
        <v>1312</v>
      </c>
      <c r="C54" s="36" t="s">
        <v>1032</v>
      </c>
      <c r="D54" s="36" t="s">
        <v>315</v>
      </c>
      <c r="E54" s="36" t="s">
        <v>1313</v>
      </c>
      <c r="F54" s="49" t="s">
        <v>1314</v>
      </c>
      <c r="G54" s="18" t="s">
        <v>1315</v>
      </c>
      <c r="H54" s="18" t="s">
        <v>1316</v>
      </c>
      <c r="I54" s="18" t="s">
        <v>1317</v>
      </c>
      <c r="J54" s="27"/>
      <c r="K54" s="58"/>
      <c r="L54" s="61"/>
      <c r="M54" s="61"/>
      <c r="N54" s="61"/>
      <c r="O54" s="61"/>
      <c r="P54" s="61"/>
      <c r="Q54" s="35"/>
      <c r="R54" s="35"/>
      <c r="S54" s="35"/>
      <c r="T54" s="14"/>
      <c r="U54" s="14"/>
      <c r="V54" s="14"/>
      <c r="W54" s="14"/>
    </row>
    <row r="55" spans="1:40" ht="43.5">
      <c r="A55" s="35">
        <f t="shared" si="0"/>
        <v>54</v>
      </c>
      <c r="B55" s="36" t="s">
        <v>1318</v>
      </c>
      <c r="C55" s="36" t="s">
        <v>1032</v>
      </c>
      <c r="D55" s="36" t="s">
        <v>315</v>
      </c>
      <c r="E55" s="36" t="s">
        <v>1319</v>
      </c>
      <c r="F55" s="49" t="s">
        <v>1320</v>
      </c>
      <c r="G55" s="18" t="s">
        <v>1321</v>
      </c>
      <c r="H55" s="18" t="s">
        <v>1322</v>
      </c>
      <c r="I55" s="58" t="s">
        <v>1323</v>
      </c>
      <c r="J55" s="12"/>
      <c r="K55" s="49" t="s">
        <v>1044</v>
      </c>
      <c r="L55" s="61"/>
      <c r="M55" s="61"/>
      <c r="N55" s="61"/>
      <c r="O55" s="61"/>
      <c r="P55" s="61"/>
      <c r="Q55" s="35"/>
      <c r="R55" s="35"/>
      <c r="S55" s="35"/>
      <c r="T55" s="14"/>
      <c r="U55" s="14"/>
      <c r="V55" s="14"/>
      <c r="W55" s="14"/>
    </row>
    <row r="56" spans="1:40" ht="43.5">
      <c r="A56" s="35">
        <f t="shared" si="0"/>
        <v>55</v>
      </c>
      <c r="B56" s="36" t="s">
        <v>1324</v>
      </c>
      <c r="C56" s="36" t="s">
        <v>1032</v>
      </c>
      <c r="D56" s="36" t="s">
        <v>616</v>
      </c>
      <c r="E56" s="36" t="s">
        <v>1325</v>
      </c>
      <c r="F56" s="49" t="s">
        <v>1326</v>
      </c>
      <c r="G56" s="18" t="s">
        <v>1327</v>
      </c>
      <c r="H56" s="18" t="s">
        <v>1328</v>
      </c>
      <c r="I56" s="58" t="s">
        <v>1329</v>
      </c>
      <c r="J56" s="12"/>
      <c r="K56" s="49" t="s">
        <v>1044</v>
      </c>
      <c r="L56" s="61"/>
      <c r="M56" s="61"/>
      <c r="N56" s="61"/>
      <c r="O56" s="61"/>
      <c r="P56" s="61"/>
      <c r="Q56" s="35"/>
      <c r="R56" s="35"/>
      <c r="S56" s="35"/>
      <c r="T56" s="14"/>
      <c r="U56" s="14"/>
      <c r="V56" s="14"/>
      <c r="W56" s="14"/>
    </row>
    <row r="57" spans="1:40" ht="57.75">
      <c r="A57" s="35">
        <f t="shared" si="0"/>
        <v>56</v>
      </c>
      <c r="B57" s="36" t="s">
        <v>1330</v>
      </c>
      <c r="C57" s="36" t="s">
        <v>1032</v>
      </c>
      <c r="D57" s="36" t="s">
        <v>315</v>
      </c>
      <c r="E57" s="36" t="s">
        <v>1331</v>
      </c>
      <c r="F57" s="49" t="s">
        <v>1332</v>
      </c>
      <c r="G57" s="18" t="s">
        <v>1333</v>
      </c>
      <c r="H57" s="18" t="s">
        <v>1334</v>
      </c>
      <c r="I57" s="18" t="s">
        <v>1335</v>
      </c>
      <c r="K57" s="18"/>
      <c r="L57" s="61"/>
      <c r="M57" s="61"/>
      <c r="N57" s="61"/>
      <c r="O57" s="61"/>
      <c r="P57" s="61"/>
      <c r="Q57" s="35"/>
      <c r="R57" s="35"/>
      <c r="S57" s="35"/>
      <c r="T57" s="14"/>
      <c r="U57" s="14"/>
      <c r="V57" s="14"/>
      <c r="W57" s="14"/>
      <c r="Z57" s="2"/>
      <c r="AA57" s="2"/>
      <c r="AB57" s="2"/>
      <c r="AC57" s="2"/>
      <c r="AD57" s="2"/>
      <c r="AE57" s="2"/>
      <c r="AF57" s="2"/>
      <c r="AG57" s="2"/>
      <c r="AH57" s="2"/>
      <c r="AI57" s="2"/>
      <c r="AJ57" s="2"/>
      <c r="AK57" s="2"/>
      <c r="AL57" s="2"/>
      <c r="AM57" s="2"/>
      <c r="AN57" s="2"/>
    </row>
    <row r="58" spans="1:40" ht="57.75">
      <c r="A58" s="35">
        <f t="shared" si="0"/>
        <v>57</v>
      </c>
      <c r="B58" s="36" t="s">
        <v>1336</v>
      </c>
      <c r="C58" s="36" t="s">
        <v>1032</v>
      </c>
      <c r="D58" s="36" t="s">
        <v>315</v>
      </c>
      <c r="E58" s="18" t="s">
        <v>1337</v>
      </c>
      <c r="F58" s="49" t="s">
        <v>1338</v>
      </c>
      <c r="G58" s="18" t="s">
        <v>1339</v>
      </c>
      <c r="H58" s="18" t="s">
        <v>1340</v>
      </c>
      <c r="I58" s="18" t="s">
        <v>1341</v>
      </c>
      <c r="K58" s="18"/>
      <c r="L58" s="61"/>
      <c r="M58" s="61"/>
      <c r="N58" s="61"/>
      <c r="O58" s="61"/>
      <c r="P58" s="61"/>
      <c r="Q58" s="35"/>
      <c r="R58" s="35"/>
      <c r="S58" s="35"/>
      <c r="T58" s="14"/>
      <c r="U58" s="14"/>
      <c r="V58" s="14"/>
      <c r="W58" s="14"/>
      <c r="Z58" s="2"/>
      <c r="AA58" s="2"/>
      <c r="AB58" s="2"/>
      <c r="AC58" s="2"/>
      <c r="AD58" s="2"/>
      <c r="AE58" s="2"/>
      <c r="AF58" s="2"/>
      <c r="AG58" s="2"/>
      <c r="AH58" s="2"/>
      <c r="AI58" s="2"/>
      <c r="AJ58" s="2"/>
      <c r="AK58" s="2"/>
      <c r="AL58" s="2"/>
      <c r="AM58" s="2"/>
      <c r="AN58" s="2"/>
    </row>
    <row r="59" spans="1:40" ht="43.5">
      <c r="A59" s="35">
        <f t="shared" si="0"/>
        <v>58</v>
      </c>
      <c r="B59" s="36" t="s">
        <v>1342</v>
      </c>
      <c r="C59" s="36" t="s">
        <v>1032</v>
      </c>
      <c r="D59" s="36" t="s">
        <v>315</v>
      </c>
      <c r="E59" s="36" t="s">
        <v>1343</v>
      </c>
      <c r="F59" s="49" t="s">
        <v>1344</v>
      </c>
      <c r="G59" s="18" t="s">
        <v>1345</v>
      </c>
      <c r="H59" s="18" t="s">
        <v>1346</v>
      </c>
      <c r="I59" s="18" t="s">
        <v>1347</v>
      </c>
      <c r="K59" s="18"/>
      <c r="L59" s="61"/>
      <c r="M59" s="61"/>
      <c r="N59" s="61"/>
      <c r="O59" s="61"/>
      <c r="P59" s="61"/>
      <c r="Q59" s="35"/>
      <c r="R59" s="35"/>
      <c r="S59" s="35"/>
      <c r="T59" s="14"/>
      <c r="U59" s="14"/>
      <c r="V59" s="14"/>
      <c r="W59" s="14"/>
      <c r="Z59" s="2"/>
      <c r="AA59" s="2"/>
      <c r="AB59" s="2"/>
      <c r="AC59" s="2"/>
      <c r="AD59" s="2"/>
      <c r="AE59" s="2"/>
      <c r="AF59" s="2"/>
      <c r="AG59" s="2"/>
      <c r="AH59" s="2"/>
      <c r="AI59" s="2"/>
      <c r="AJ59" s="2"/>
      <c r="AK59" s="2"/>
      <c r="AL59" s="2"/>
      <c r="AM59" s="2"/>
      <c r="AN59" s="2"/>
    </row>
    <row r="60" spans="1:40" ht="43.5">
      <c r="A60" s="35">
        <f t="shared" si="0"/>
        <v>59</v>
      </c>
      <c r="B60" s="36" t="s">
        <v>1348</v>
      </c>
      <c r="C60" s="36" t="s">
        <v>1032</v>
      </c>
      <c r="D60" s="36" t="s">
        <v>315</v>
      </c>
      <c r="E60" s="36" t="s">
        <v>1349</v>
      </c>
      <c r="F60" s="49" t="s">
        <v>1350</v>
      </c>
      <c r="G60" s="18" t="s">
        <v>1351</v>
      </c>
      <c r="H60" s="18" t="s">
        <v>1352</v>
      </c>
      <c r="I60" s="18" t="s">
        <v>1353</v>
      </c>
      <c r="K60" s="18"/>
      <c r="L60" s="61"/>
      <c r="M60" s="61"/>
      <c r="N60" s="61"/>
      <c r="O60" s="61"/>
      <c r="P60" s="61"/>
      <c r="Q60" s="35"/>
      <c r="R60" s="35"/>
      <c r="S60" s="35"/>
      <c r="T60" s="14"/>
      <c r="U60" s="14"/>
      <c r="V60" s="14"/>
      <c r="W60" s="14"/>
    </row>
    <row r="61" spans="1:40" ht="144.75">
      <c r="A61" s="35">
        <f t="shared" si="0"/>
        <v>60</v>
      </c>
      <c r="B61" s="36" t="s">
        <v>1354</v>
      </c>
      <c r="C61" s="36" t="s">
        <v>1032</v>
      </c>
      <c r="D61" s="36" t="s">
        <v>616</v>
      </c>
      <c r="E61" s="36" t="s">
        <v>1355</v>
      </c>
      <c r="F61" s="28" t="s">
        <v>1356</v>
      </c>
      <c r="G61" s="27" t="s">
        <v>1357</v>
      </c>
      <c r="H61" s="27" t="s">
        <v>1358</v>
      </c>
      <c r="I61" s="27" t="s">
        <v>1359</v>
      </c>
      <c r="K61" s="27"/>
      <c r="L61" s="61"/>
      <c r="M61" s="61"/>
      <c r="N61" s="61"/>
      <c r="O61" s="61"/>
      <c r="P61" s="61"/>
      <c r="Q61" s="35"/>
      <c r="R61" s="35"/>
      <c r="S61" s="35"/>
      <c r="T61" s="14"/>
      <c r="U61" s="14"/>
      <c r="V61" s="14"/>
      <c r="W61" s="14"/>
    </row>
    <row r="62" spans="1:40" s="19" customFormat="1" ht="57.75">
      <c r="A62" s="35">
        <f t="shared" si="0"/>
        <v>61</v>
      </c>
      <c r="B62" s="36" t="s">
        <v>1360</v>
      </c>
      <c r="C62" s="36" t="s">
        <v>1032</v>
      </c>
      <c r="D62" s="36" t="s">
        <v>616</v>
      </c>
      <c r="E62" s="36" t="s">
        <v>1361</v>
      </c>
      <c r="F62" s="28" t="s">
        <v>1362</v>
      </c>
      <c r="G62" s="27" t="s">
        <v>445</v>
      </c>
      <c r="H62" s="27" t="s">
        <v>1363</v>
      </c>
      <c r="I62" s="27" t="s">
        <v>1364</v>
      </c>
      <c r="K62" s="27"/>
      <c r="L62" s="18"/>
      <c r="M62" s="18"/>
      <c r="N62" s="18"/>
      <c r="O62" s="18"/>
      <c r="P62" s="18"/>
      <c r="Q62" s="18"/>
      <c r="R62" s="18"/>
      <c r="S62" s="18"/>
    </row>
    <row r="63" spans="1:40" ht="43.5">
      <c r="A63" s="35">
        <f>1+A62</f>
        <v>62</v>
      </c>
      <c r="B63" s="36" t="s">
        <v>1365</v>
      </c>
      <c r="C63" s="36" t="s">
        <v>1032</v>
      </c>
      <c r="D63" s="36" t="s">
        <v>315</v>
      </c>
      <c r="E63" s="36" t="s">
        <v>1366</v>
      </c>
      <c r="F63" s="49" t="s">
        <v>1367</v>
      </c>
      <c r="G63" s="18" t="s">
        <v>1368</v>
      </c>
      <c r="H63" s="18" t="s">
        <v>1369</v>
      </c>
      <c r="I63" s="18" t="s">
        <v>1370</v>
      </c>
      <c r="K63" s="18"/>
      <c r="L63" s="55"/>
      <c r="M63" s="55"/>
      <c r="N63" s="55"/>
      <c r="O63" s="61"/>
      <c r="P63" s="61"/>
      <c r="Q63" s="35"/>
      <c r="R63" s="35"/>
      <c r="S63" s="35"/>
      <c r="T63" s="14"/>
      <c r="U63" s="14"/>
      <c r="V63" s="14"/>
      <c r="W63" s="14"/>
    </row>
    <row r="64" spans="1:40" ht="43.5">
      <c r="A64" s="35">
        <f>1+A63</f>
        <v>63</v>
      </c>
      <c r="B64" s="36" t="s">
        <v>1371</v>
      </c>
      <c r="C64" s="36" t="s">
        <v>1032</v>
      </c>
      <c r="D64" s="36" t="s">
        <v>315</v>
      </c>
      <c r="E64" s="36" t="s">
        <v>1372</v>
      </c>
      <c r="F64" s="49" t="s">
        <v>1373</v>
      </c>
      <c r="G64" s="18" t="s">
        <v>1374</v>
      </c>
      <c r="H64" s="18" t="s">
        <v>1375</v>
      </c>
      <c r="I64" s="58" t="s">
        <v>1376</v>
      </c>
      <c r="J64" s="12"/>
      <c r="K64" s="49" t="s">
        <v>1044</v>
      </c>
      <c r="L64" s="55"/>
      <c r="M64" s="55"/>
      <c r="N64" s="55"/>
      <c r="O64" s="61"/>
      <c r="P64" s="61"/>
      <c r="Q64" s="35"/>
      <c r="R64" s="35"/>
      <c r="S64" s="35"/>
      <c r="T64" s="14"/>
      <c r="U64" s="14"/>
      <c r="V64" s="14"/>
      <c r="W64" s="14"/>
    </row>
    <row r="65" spans="1:23" ht="43.5">
      <c r="A65" s="35">
        <f>1+A64</f>
        <v>64</v>
      </c>
      <c r="B65" s="36" t="s">
        <v>1377</v>
      </c>
      <c r="C65" s="36" t="s">
        <v>1032</v>
      </c>
      <c r="D65" s="36" t="s">
        <v>315</v>
      </c>
      <c r="E65" s="36" t="s">
        <v>1378</v>
      </c>
      <c r="F65" s="49" t="s">
        <v>1379</v>
      </c>
      <c r="G65" s="18" t="s">
        <v>1380</v>
      </c>
      <c r="H65" s="18" t="s">
        <v>1381</v>
      </c>
      <c r="I65" s="18" t="s">
        <v>1382</v>
      </c>
      <c r="K65" s="18"/>
      <c r="L65" s="55"/>
      <c r="M65" s="55"/>
      <c r="N65" s="55"/>
      <c r="O65" s="61"/>
      <c r="P65" s="61"/>
      <c r="Q65" s="35"/>
      <c r="R65" s="35"/>
      <c r="S65" s="35"/>
      <c r="T65" s="14"/>
      <c r="U65" s="14"/>
      <c r="V65" s="14"/>
      <c r="W65" s="14"/>
    </row>
    <row r="66" spans="1:23" ht="43.5">
      <c r="A66" s="35">
        <f>1+A65</f>
        <v>65</v>
      </c>
      <c r="B66" s="36" t="s">
        <v>1383</v>
      </c>
      <c r="C66" s="36" t="s">
        <v>1032</v>
      </c>
      <c r="D66" s="36" t="s">
        <v>616</v>
      </c>
      <c r="E66" s="36" t="s">
        <v>1384</v>
      </c>
      <c r="F66" s="49" t="s">
        <v>1385</v>
      </c>
      <c r="G66" s="18" t="s">
        <v>1386</v>
      </c>
      <c r="H66" s="18" t="s">
        <v>1387</v>
      </c>
      <c r="I66" s="18" t="s">
        <v>1388</v>
      </c>
      <c r="K66" s="18"/>
      <c r="L66" s="55"/>
      <c r="M66" s="55"/>
      <c r="N66" s="55"/>
      <c r="O66" s="61"/>
      <c r="P66" s="61"/>
      <c r="Q66" s="35"/>
      <c r="R66" s="35"/>
      <c r="S66" s="35"/>
      <c r="T66" s="14"/>
      <c r="U66" s="14"/>
      <c r="V66" s="14"/>
      <c r="W66" s="14"/>
    </row>
    <row r="67" spans="1:23" ht="43.5">
      <c r="A67" s="35">
        <f>1+A66</f>
        <v>66</v>
      </c>
      <c r="B67" s="36" t="s">
        <v>1389</v>
      </c>
      <c r="C67" s="36" t="s">
        <v>1032</v>
      </c>
      <c r="D67" s="36" t="s">
        <v>616</v>
      </c>
      <c r="E67" s="36" t="s">
        <v>1390</v>
      </c>
      <c r="F67" s="49" t="s">
        <v>1391</v>
      </c>
      <c r="G67" s="18" t="s">
        <v>1386</v>
      </c>
      <c r="H67" s="18" t="s">
        <v>1392</v>
      </c>
      <c r="I67" s="18" t="s">
        <v>1393</v>
      </c>
      <c r="K67" s="18"/>
      <c r="L67" s="55"/>
      <c r="M67" s="55"/>
      <c r="N67" s="55"/>
      <c r="O67" s="55"/>
      <c r="P67" s="55"/>
      <c r="Q67" s="12"/>
      <c r="R67" s="12"/>
      <c r="S67" s="12"/>
    </row>
    <row r="68" spans="1:23" ht="29.25">
      <c r="A68" s="35">
        <f>1+A67</f>
        <v>67</v>
      </c>
      <c r="B68" s="36" t="s">
        <v>1394</v>
      </c>
      <c r="C68" s="36" t="s">
        <v>1032</v>
      </c>
      <c r="D68" s="36" t="s">
        <v>315</v>
      </c>
      <c r="E68" s="36" t="s">
        <v>1395</v>
      </c>
      <c r="F68" s="49" t="s">
        <v>1396</v>
      </c>
      <c r="G68" s="18" t="s">
        <v>566</v>
      </c>
      <c r="H68" s="18" t="s">
        <v>1397</v>
      </c>
      <c r="I68" s="18" t="s">
        <v>1398</v>
      </c>
      <c r="K68" s="18"/>
      <c r="L68" s="55"/>
      <c r="M68" s="55"/>
      <c r="N68" s="55"/>
      <c r="O68" s="55"/>
      <c r="P68" s="55"/>
      <c r="Q68" s="12"/>
      <c r="R68" s="12"/>
      <c r="S68" s="12"/>
    </row>
    <row r="69" spans="1:23" ht="43.5">
      <c r="A69" s="35">
        <f>1+A68</f>
        <v>68</v>
      </c>
      <c r="B69" s="36" t="s">
        <v>1399</v>
      </c>
      <c r="C69" s="36" t="s">
        <v>1032</v>
      </c>
      <c r="D69" s="36" t="s">
        <v>315</v>
      </c>
      <c r="E69" s="36" t="s">
        <v>1400</v>
      </c>
      <c r="F69" s="28" t="s">
        <v>1401</v>
      </c>
      <c r="G69" s="27" t="s">
        <v>1402</v>
      </c>
      <c r="H69" s="27" t="s">
        <v>1403</v>
      </c>
      <c r="I69" s="27" t="s">
        <v>1404</v>
      </c>
      <c r="K69" s="27"/>
      <c r="L69" s="55"/>
      <c r="M69" s="55"/>
      <c r="N69" s="55"/>
      <c r="O69" s="55"/>
      <c r="P69" s="55"/>
      <c r="Q69" s="12"/>
      <c r="R69" s="12"/>
      <c r="S69" s="12"/>
    </row>
    <row r="70" spans="1:23" ht="43.5">
      <c r="A70" s="35">
        <f>1+A69</f>
        <v>69</v>
      </c>
      <c r="B70" s="36" t="s">
        <v>1405</v>
      </c>
      <c r="C70" s="36" t="s">
        <v>1032</v>
      </c>
      <c r="D70" s="36" t="s">
        <v>616</v>
      </c>
      <c r="E70" s="36" t="s">
        <v>1406</v>
      </c>
      <c r="F70" s="49" t="s">
        <v>1407</v>
      </c>
      <c r="G70" s="18" t="s">
        <v>1408</v>
      </c>
      <c r="H70" s="18" t="s">
        <v>1409</v>
      </c>
      <c r="I70" s="18" t="s">
        <v>1410</v>
      </c>
      <c r="K70" s="18"/>
      <c r="L70" s="18"/>
      <c r="M70" s="18"/>
      <c r="N70" s="18"/>
      <c r="O70" s="12"/>
      <c r="P70" s="12"/>
      <c r="Q70" s="12"/>
      <c r="R70" s="12"/>
      <c r="S70" s="12"/>
    </row>
    <row r="71" spans="1:23" ht="43.5">
      <c r="A71" s="35">
        <f>1+A70</f>
        <v>70</v>
      </c>
      <c r="B71" s="36" t="s">
        <v>1411</v>
      </c>
      <c r="C71" s="36" t="s">
        <v>1032</v>
      </c>
      <c r="D71" s="36" t="s">
        <v>616</v>
      </c>
      <c r="E71" s="36" t="s">
        <v>1412</v>
      </c>
      <c r="F71" s="49" t="s">
        <v>1413</v>
      </c>
      <c r="G71" s="18" t="s">
        <v>1380</v>
      </c>
      <c r="H71" s="18" t="s">
        <v>1414</v>
      </c>
      <c r="I71" s="18" t="s">
        <v>1415</v>
      </c>
      <c r="K71" s="18"/>
      <c r="L71" s="18"/>
      <c r="M71" s="18"/>
      <c r="N71" s="18"/>
      <c r="O71" s="12"/>
      <c r="P71" s="12"/>
      <c r="Q71" s="12"/>
      <c r="R71" s="12"/>
      <c r="S71" s="12"/>
    </row>
    <row r="72" spans="1:23" ht="57.75">
      <c r="A72" s="35">
        <f>1+A71</f>
        <v>71</v>
      </c>
      <c r="B72" s="36" t="s">
        <v>1416</v>
      </c>
      <c r="C72" s="36" t="s">
        <v>1032</v>
      </c>
      <c r="D72" s="36" t="s">
        <v>315</v>
      </c>
      <c r="E72" s="36" t="s">
        <v>1417</v>
      </c>
      <c r="F72" s="28" t="s">
        <v>1418</v>
      </c>
      <c r="G72" s="27" t="s">
        <v>1419</v>
      </c>
      <c r="H72" s="27" t="s">
        <v>1420</v>
      </c>
      <c r="I72" s="27" t="s">
        <v>1421</v>
      </c>
      <c r="K72" s="27"/>
      <c r="L72" s="18"/>
      <c r="M72" s="18"/>
      <c r="N72" s="18"/>
      <c r="O72" s="12"/>
      <c r="P72" s="12"/>
      <c r="Q72" s="12"/>
      <c r="R72" s="12"/>
      <c r="S72" s="12"/>
    </row>
    <row r="73" spans="1:23" ht="57.75">
      <c r="A73" s="35">
        <f>1+A72</f>
        <v>72</v>
      </c>
      <c r="B73" s="37" t="s">
        <v>1422</v>
      </c>
      <c r="C73" s="37" t="s">
        <v>1032</v>
      </c>
      <c r="D73" s="37" t="s">
        <v>315</v>
      </c>
      <c r="E73" s="37" t="s">
        <v>1423</v>
      </c>
      <c r="F73" s="28" t="s">
        <v>1424</v>
      </c>
      <c r="G73" s="27" t="s">
        <v>176</v>
      </c>
      <c r="H73" s="27" t="s">
        <v>1425</v>
      </c>
      <c r="I73" s="27" t="s">
        <v>1426</v>
      </c>
      <c r="K73" s="27"/>
      <c r="L73" s="18"/>
      <c r="M73" s="18"/>
      <c r="N73" s="18"/>
      <c r="O73" s="12"/>
      <c r="P73" s="12"/>
      <c r="Q73" s="12"/>
      <c r="R73" s="12"/>
      <c r="S73" s="12"/>
    </row>
    <row r="74" spans="1:23" ht="72.75">
      <c r="A74" s="44">
        <f>1+A73</f>
        <v>73</v>
      </c>
      <c r="B74" s="18" t="s">
        <v>1427</v>
      </c>
      <c r="C74" s="18" t="s">
        <v>1032</v>
      </c>
      <c r="D74" s="18" t="s">
        <v>315</v>
      </c>
      <c r="E74" s="18" t="s">
        <v>1428</v>
      </c>
      <c r="F74" s="18" t="s">
        <v>1429</v>
      </c>
      <c r="G74" s="18" t="s">
        <v>1430</v>
      </c>
      <c r="H74" s="18" t="s">
        <v>1431</v>
      </c>
      <c r="I74" s="18" t="s">
        <v>1432</v>
      </c>
      <c r="K74" s="18" t="s">
        <v>1044</v>
      </c>
      <c r="L74" s="12"/>
      <c r="M74" s="12"/>
      <c r="N74" s="12"/>
      <c r="O74" s="12"/>
      <c r="P74" s="12"/>
      <c r="Q74" s="12"/>
      <c r="R74" s="12"/>
      <c r="S74" s="12"/>
    </row>
    <row r="75" spans="1:23" ht="72.75">
      <c r="A75" s="43">
        <f>1+A74</f>
        <v>74</v>
      </c>
      <c r="B75" s="18" t="s">
        <v>1433</v>
      </c>
      <c r="C75" s="18" t="s">
        <v>1032</v>
      </c>
      <c r="D75" s="18" t="s">
        <v>315</v>
      </c>
      <c r="E75" s="18" t="s">
        <v>1434</v>
      </c>
      <c r="F75" s="18" t="s">
        <v>1435</v>
      </c>
      <c r="G75" s="18" t="s">
        <v>1436</v>
      </c>
      <c r="H75" s="18" t="s">
        <v>1437</v>
      </c>
      <c r="I75" s="58" t="s">
        <v>1438</v>
      </c>
      <c r="J75" s="12"/>
      <c r="K75" s="49" t="s">
        <v>1044</v>
      </c>
      <c r="L75" s="12"/>
      <c r="M75" s="12"/>
      <c r="N75" s="12"/>
      <c r="O75" s="12"/>
      <c r="P75" s="12"/>
      <c r="Q75" s="12"/>
      <c r="R75" s="12"/>
      <c r="S75" s="12"/>
    </row>
    <row r="76" spans="1:23" ht="72.75">
      <c r="A76" s="43">
        <f>1+A75</f>
        <v>75</v>
      </c>
      <c r="B76" s="27" t="s">
        <v>1439</v>
      </c>
      <c r="C76" s="27" t="s">
        <v>1032</v>
      </c>
      <c r="D76" s="27" t="s">
        <v>315</v>
      </c>
      <c r="E76" s="27" t="s">
        <v>1440</v>
      </c>
      <c r="F76" s="27" t="s">
        <v>1441</v>
      </c>
      <c r="G76" s="27" t="s">
        <v>1442</v>
      </c>
      <c r="H76" s="27" t="s">
        <v>1443</v>
      </c>
      <c r="I76" s="64" t="s">
        <v>1444</v>
      </c>
      <c r="J76" s="12"/>
      <c r="K76" s="28" t="s">
        <v>1037</v>
      </c>
      <c r="L76" s="12"/>
      <c r="M76" s="12"/>
      <c r="N76" s="12"/>
      <c r="O76" s="12"/>
      <c r="P76" s="12"/>
      <c r="Q76" s="12"/>
      <c r="R76" s="12"/>
      <c r="S76" s="12"/>
    </row>
    <row r="77" spans="1:23" ht="72.75">
      <c r="A77" s="43">
        <f>1+A76</f>
        <v>76</v>
      </c>
      <c r="B77" s="18" t="s">
        <v>1445</v>
      </c>
      <c r="C77" s="18" t="s">
        <v>1032</v>
      </c>
      <c r="D77" s="18" t="s">
        <v>315</v>
      </c>
      <c r="E77" s="18" t="s">
        <v>1446</v>
      </c>
      <c r="F77" s="18" t="s">
        <v>1447</v>
      </c>
      <c r="G77" s="18" t="s">
        <v>1442</v>
      </c>
      <c r="H77" s="18" t="s">
        <v>1448</v>
      </c>
      <c r="I77" s="18" t="s">
        <v>1449</v>
      </c>
      <c r="J77" s="52"/>
      <c r="K77" s="58"/>
      <c r="L77" s="12"/>
      <c r="M77" s="12"/>
      <c r="N77" s="12"/>
      <c r="O77" s="12"/>
      <c r="P77" s="12"/>
      <c r="Q77" s="12"/>
      <c r="R77" s="12"/>
      <c r="S77" s="12"/>
    </row>
    <row r="78" spans="1:23" ht="72.75">
      <c r="A78" s="43">
        <f t="shared" ref="A78:A88" si="1">1+A77</f>
        <v>77</v>
      </c>
      <c r="B78" s="18" t="s">
        <v>1450</v>
      </c>
      <c r="C78" s="18" t="s">
        <v>1032</v>
      </c>
      <c r="D78" s="18" t="s">
        <v>315</v>
      </c>
      <c r="E78" s="18" t="s">
        <v>1451</v>
      </c>
      <c r="F78" s="18" t="s">
        <v>1452</v>
      </c>
      <c r="G78" s="18" t="s">
        <v>1453</v>
      </c>
      <c r="H78" s="18" t="s">
        <v>1454</v>
      </c>
      <c r="I78" s="18" t="s">
        <v>1455</v>
      </c>
      <c r="J78" s="18"/>
      <c r="K78" s="58"/>
      <c r="L78" s="12"/>
      <c r="M78" s="12"/>
      <c r="N78" s="12"/>
      <c r="O78" s="12"/>
      <c r="P78" s="12"/>
      <c r="Q78" s="12"/>
      <c r="R78" s="12"/>
      <c r="S78" s="12"/>
    </row>
    <row r="79" spans="1:23" ht="72.75">
      <c r="A79" s="43">
        <f t="shared" si="1"/>
        <v>78</v>
      </c>
      <c r="B79" s="18" t="s">
        <v>1456</v>
      </c>
      <c r="C79" s="18" t="s">
        <v>1032</v>
      </c>
      <c r="D79" s="18" t="s">
        <v>315</v>
      </c>
      <c r="E79" s="18" t="s">
        <v>1457</v>
      </c>
      <c r="F79" s="18" t="s">
        <v>1458</v>
      </c>
      <c r="G79" s="18" t="s">
        <v>1459</v>
      </c>
      <c r="H79" s="18" t="s">
        <v>1460</v>
      </c>
      <c r="I79" s="18" t="s">
        <v>1461</v>
      </c>
      <c r="J79" s="18"/>
      <c r="K79" s="58"/>
      <c r="L79" s="12"/>
      <c r="M79" s="12"/>
      <c r="N79" s="12"/>
      <c r="O79" s="12"/>
      <c r="P79" s="12"/>
      <c r="Q79" s="12"/>
      <c r="R79" s="12"/>
      <c r="S79" s="12"/>
    </row>
    <row r="80" spans="1:23">
      <c r="A80" s="61">
        <f t="shared" si="1"/>
        <v>79</v>
      </c>
      <c r="B80" s="18" t="s">
        <v>1462</v>
      </c>
      <c r="C80" s="63"/>
      <c r="D80" s="63"/>
      <c r="E80" s="62"/>
      <c r="F80" s="62"/>
      <c r="G80" s="62"/>
      <c r="H80" s="62"/>
      <c r="I80" s="62"/>
      <c r="J80" s="62"/>
      <c r="K80" s="93"/>
      <c r="L80" s="12"/>
      <c r="M80" s="12"/>
      <c r="N80" s="12"/>
      <c r="O80" s="12"/>
      <c r="P80" s="12"/>
      <c r="Q80" s="12"/>
      <c r="R80" s="12"/>
      <c r="S80" s="12"/>
    </row>
    <row r="81" spans="1:19" ht="87">
      <c r="A81" s="43">
        <f t="shared" si="1"/>
        <v>80</v>
      </c>
      <c r="B81" s="18" t="s">
        <v>1463</v>
      </c>
      <c r="C81" s="21" t="s">
        <v>1464</v>
      </c>
      <c r="D81" s="18" t="s">
        <v>315</v>
      </c>
      <c r="E81" s="21" t="s">
        <v>1465</v>
      </c>
      <c r="F81" s="21" t="s">
        <v>1466</v>
      </c>
      <c r="G81" s="21" t="s">
        <v>1467</v>
      </c>
      <c r="H81" s="21" t="s">
        <v>1468</v>
      </c>
      <c r="I81" s="21" t="s">
        <v>1469</v>
      </c>
      <c r="J81" s="21"/>
      <c r="K81" s="21" t="s">
        <v>1037</v>
      </c>
      <c r="L81" s="21"/>
      <c r="M81" s="21"/>
      <c r="N81" s="21"/>
      <c r="O81" s="21"/>
      <c r="P81" s="21"/>
      <c r="Q81" s="21"/>
      <c r="R81" s="21"/>
      <c r="S81" s="21"/>
    </row>
    <row r="82" spans="1:19" ht="72.75">
      <c r="A82" s="61">
        <f t="shared" si="1"/>
        <v>81</v>
      </c>
      <c r="B82" s="18" t="s">
        <v>1470</v>
      </c>
      <c r="C82" s="21" t="s">
        <v>1471</v>
      </c>
      <c r="D82" s="21" t="s">
        <v>358</v>
      </c>
      <c r="E82" s="21" t="s">
        <v>1472</v>
      </c>
      <c r="F82" s="21" t="s">
        <v>1473</v>
      </c>
      <c r="G82" s="21" t="s">
        <v>1474</v>
      </c>
      <c r="H82" s="21" t="s">
        <v>1475</v>
      </c>
      <c r="I82" s="21" t="s">
        <v>1476</v>
      </c>
      <c r="J82" s="21"/>
      <c r="K82" s="21" t="s">
        <v>1037</v>
      </c>
      <c r="L82" s="21"/>
      <c r="M82" s="21"/>
      <c r="N82" s="21"/>
      <c r="O82" s="21"/>
      <c r="P82" s="21"/>
      <c r="Q82" s="21"/>
      <c r="R82" s="21"/>
      <c r="S82" s="21"/>
    </row>
    <row r="83" spans="1:19" ht="72.75">
      <c r="A83" s="43">
        <f t="shared" si="1"/>
        <v>82</v>
      </c>
      <c r="B83" s="18" t="s">
        <v>1477</v>
      </c>
      <c r="C83" s="21" t="s">
        <v>1478</v>
      </c>
      <c r="D83" s="21" t="s">
        <v>358</v>
      </c>
      <c r="E83" s="21" t="s">
        <v>1479</v>
      </c>
      <c r="F83" s="21" t="s">
        <v>1480</v>
      </c>
      <c r="G83" s="21" t="s">
        <v>1481</v>
      </c>
      <c r="H83" s="21" t="s">
        <v>1482</v>
      </c>
      <c r="I83" s="21" t="s">
        <v>1483</v>
      </c>
      <c r="J83" s="21"/>
      <c r="K83" s="21" t="s">
        <v>1037</v>
      </c>
      <c r="L83" s="21"/>
      <c r="M83" s="21"/>
      <c r="N83" s="21"/>
      <c r="O83" s="21"/>
      <c r="P83" s="21"/>
      <c r="Q83" s="21"/>
      <c r="R83" s="21"/>
      <c r="S83" s="21"/>
    </row>
    <row r="84" spans="1:19" ht="72.75">
      <c r="A84" s="61">
        <f t="shared" si="1"/>
        <v>83</v>
      </c>
      <c r="B84" s="18" t="s">
        <v>1484</v>
      </c>
      <c r="C84" s="21" t="s">
        <v>1478</v>
      </c>
      <c r="D84" s="21" t="s">
        <v>358</v>
      </c>
      <c r="E84" s="21" t="s">
        <v>1485</v>
      </c>
      <c r="F84" s="21" t="s">
        <v>1486</v>
      </c>
      <c r="G84" s="21" t="s">
        <v>1487</v>
      </c>
      <c r="H84" s="21" t="s">
        <v>1488</v>
      </c>
      <c r="I84" s="21" t="s">
        <v>1489</v>
      </c>
      <c r="J84" s="21"/>
      <c r="K84" s="21" t="s">
        <v>1037</v>
      </c>
      <c r="L84" s="21"/>
      <c r="M84" s="21"/>
      <c r="N84" s="21"/>
      <c r="O84" s="21"/>
      <c r="P84" s="21"/>
      <c r="Q84" s="21"/>
      <c r="R84" s="21"/>
      <c r="S84" s="21"/>
    </row>
    <row r="85" spans="1:19" ht="57.75">
      <c r="A85" s="43">
        <f t="shared" si="1"/>
        <v>84</v>
      </c>
      <c r="B85" s="18" t="s">
        <v>1490</v>
      </c>
      <c r="C85" s="21" t="s">
        <v>1478</v>
      </c>
      <c r="D85" s="21" t="s">
        <v>358</v>
      </c>
      <c r="E85" s="21" t="s">
        <v>1491</v>
      </c>
      <c r="F85" s="21" t="s">
        <v>1492</v>
      </c>
      <c r="G85" s="21" t="s">
        <v>1493</v>
      </c>
      <c r="H85" s="21" t="s">
        <v>1494</v>
      </c>
      <c r="I85" s="21" t="s">
        <v>1495</v>
      </c>
      <c r="J85" s="21"/>
      <c r="K85" s="21" t="s">
        <v>1037</v>
      </c>
      <c r="L85" s="21"/>
      <c r="M85" s="21"/>
      <c r="N85" s="21"/>
      <c r="O85" s="21"/>
      <c r="P85" s="21"/>
      <c r="Q85" s="21"/>
      <c r="R85" s="21"/>
      <c r="S85" s="21"/>
    </row>
    <row r="86" spans="1:19" ht="87">
      <c r="A86" s="61">
        <f t="shared" si="1"/>
        <v>85</v>
      </c>
      <c r="B86" s="18" t="s">
        <v>1496</v>
      </c>
      <c r="C86" s="21" t="s">
        <v>1497</v>
      </c>
      <c r="D86" s="21" t="s">
        <v>358</v>
      </c>
      <c r="E86" s="21" t="s">
        <v>1498</v>
      </c>
      <c r="F86" s="21" t="s">
        <v>1499</v>
      </c>
      <c r="G86" s="21" t="s">
        <v>1500</v>
      </c>
      <c r="H86" s="21" t="s">
        <v>1501</v>
      </c>
      <c r="I86" s="21" t="s">
        <v>1502</v>
      </c>
      <c r="J86" s="21"/>
      <c r="K86" s="21" t="s">
        <v>1037</v>
      </c>
      <c r="L86" s="21"/>
      <c r="M86" s="21"/>
      <c r="N86" s="21"/>
      <c r="O86" s="21"/>
      <c r="P86" s="21"/>
      <c r="Q86" s="21"/>
      <c r="R86" s="21"/>
      <c r="S86" s="21"/>
    </row>
    <row r="87" spans="1:19" ht="87">
      <c r="A87" s="43">
        <f t="shared" si="1"/>
        <v>86</v>
      </c>
      <c r="B87" s="18" t="s">
        <v>1503</v>
      </c>
      <c r="C87" s="21" t="s">
        <v>1504</v>
      </c>
      <c r="D87" s="21" t="s">
        <v>358</v>
      </c>
      <c r="E87" s="21" t="s">
        <v>1505</v>
      </c>
      <c r="F87" s="21" t="s">
        <v>1506</v>
      </c>
      <c r="G87" s="21" t="s">
        <v>1507</v>
      </c>
      <c r="H87" s="21" t="s">
        <v>1508</v>
      </c>
      <c r="I87" s="21" t="s">
        <v>1509</v>
      </c>
      <c r="J87" s="21"/>
      <c r="K87" s="21" t="s">
        <v>1037</v>
      </c>
      <c r="L87" s="21"/>
      <c r="M87" s="21"/>
      <c r="N87" s="21"/>
      <c r="O87" s="21"/>
      <c r="P87" s="21"/>
      <c r="Q87" s="21"/>
      <c r="R87" s="21"/>
      <c r="S87" s="21"/>
    </row>
    <row r="88" spans="1:19" ht="101.25">
      <c r="A88" s="61">
        <f t="shared" si="1"/>
        <v>87</v>
      </c>
      <c r="B88" s="18" t="s">
        <v>1510</v>
      </c>
      <c r="C88" s="21" t="s">
        <v>1511</v>
      </c>
      <c r="D88" s="21" t="s">
        <v>358</v>
      </c>
      <c r="E88" s="21" t="s">
        <v>1512</v>
      </c>
      <c r="F88" s="21" t="s">
        <v>1513</v>
      </c>
      <c r="G88" s="21" t="s">
        <v>1514</v>
      </c>
      <c r="H88" s="21" t="s">
        <v>1515</v>
      </c>
      <c r="I88" s="21" t="s">
        <v>1516</v>
      </c>
      <c r="J88" s="21"/>
      <c r="K88" s="21" t="s">
        <v>1037</v>
      </c>
      <c r="L88" s="21"/>
      <c r="M88" s="21"/>
      <c r="N88" s="21"/>
      <c r="O88" s="21"/>
      <c r="P88" s="21"/>
      <c r="Q88" s="21"/>
      <c r="R88" s="21"/>
      <c r="S88" s="21"/>
    </row>
    <row r="2133" spans="1:1 16377:16383">
      <c r="A2133" t="s">
        <v>1517</v>
      </c>
      <c r="XEW2133" t="s">
        <v>1518</v>
      </c>
      <c r="XFC2133" t="s">
        <v>1519</v>
      </c>
    </row>
  </sheetData>
  <autoFilter ref="A1:XFC1" xr:uid="{8BDCD341-3133-48F2-95B4-A43C887C403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64909-D6F9-4E2C-B4C7-2B4BC27657FA}">
  <dimension ref="A1:R33"/>
  <sheetViews>
    <sheetView topLeftCell="A12" workbookViewId="0">
      <selection activeCell="T33" sqref="T33"/>
    </sheetView>
  </sheetViews>
  <sheetFormatPr defaultRowHeight="44.45" customHeight="1"/>
  <cols>
    <col min="1" max="1" width="6.85546875" customWidth="1"/>
    <col min="2" max="2" width="10.5703125" bestFit="1" customWidth="1"/>
    <col min="3" max="3" width="16.28515625" customWidth="1"/>
    <col min="4" max="4" width="20.42578125" customWidth="1"/>
    <col min="5" max="5" width="25.85546875" customWidth="1"/>
    <col min="6" max="6" width="15.140625" customWidth="1"/>
    <col min="7" max="7" width="37.85546875" customWidth="1"/>
    <col min="8" max="8" width="25.5703125" customWidth="1"/>
    <col min="9" max="9" width="18.85546875" customWidth="1"/>
    <col min="10" max="10" width="20.28515625" customWidth="1"/>
    <col min="11" max="11" width="20.85546875" customWidth="1"/>
    <col min="12" max="12" width="22.5703125" customWidth="1"/>
    <col min="13" max="13" width="22.7109375" customWidth="1"/>
    <col min="14" max="14" width="19.140625" customWidth="1"/>
    <col min="15" max="15" width="17.28515625" customWidth="1"/>
    <col min="16" max="16" width="18.7109375" customWidth="1"/>
    <col min="17" max="17" width="17.5703125" customWidth="1"/>
    <col min="18" max="18" width="18.5703125" customWidth="1"/>
  </cols>
  <sheetData>
    <row r="1" spans="1:18" ht="44.45" customHeight="1">
      <c r="A1" s="1" t="s">
        <v>48</v>
      </c>
      <c r="B1" s="2" t="s">
        <v>49</v>
      </c>
      <c r="C1" s="2" t="s">
        <v>50</v>
      </c>
      <c r="D1" s="2" t="s">
        <v>16</v>
      </c>
      <c r="E1" s="2" t="s">
        <v>52</v>
      </c>
      <c r="F1" s="2" t="s">
        <v>53</v>
      </c>
      <c r="G1" s="2" t="s">
        <v>54</v>
      </c>
      <c r="H1" s="2" t="s">
        <v>55</v>
      </c>
      <c r="I1" s="2" t="s">
        <v>56</v>
      </c>
      <c r="J1" s="2" t="s">
        <v>57</v>
      </c>
      <c r="K1" s="2" t="s">
        <v>58</v>
      </c>
      <c r="L1" s="2" t="s">
        <v>59</v>
      </c>
      <c r="M1" s="82" t="s">
        <v>60</v>
      </c>
      <c r="N1" s="82" t="s">
        <v>61</v>
      </c>
      <c r="O1" s="82" t="s">
        <v>62</v>
      </c>
      <c r="P1" s="82" t="s">
        <v>63</v>
      </c>
      <c r="Q1" s="82" t="s">
        <v>64</v>
      </c>
      <c r="R1" s="82" t="s">
        <v>46</v>
      </c>
    </row>
    <row r="2" spans="1:18" ht="44.45" customHeight="1">
      <c r="A2" s="3">
        <v>1</v>
      </c>
      <c r="B2" s="4" t="s">
        <v>1520</v>
      </c>
      <c r="C2" s="4" t="s">
        <v>1521</v>
      </c>
      <c r="D2" s="4" t="s">
        <v>1522</v>
      </c>
      <c r="E2" s="4" t="s">
        <v>1523</v>
      </c>
      <c r="F2" s="4" t="s">
        <v>1524</v>
      </c>
      <c r="G2" s="4" t="s">
        <v>1525</v>
      </c>
      <c r="H2" s="4" t="s">
        <v>1526</v>
      </c>
      <c r="I2" s="7" t="s">
        <v>1044</v>
      </c>
      <c r="J2" s="7"/>
      <c r="K2" s="7"/>
      <c r="L2" s="81"/>
      <c r="M2" s="12"/>
      <c r="N2" s="12"/>
      <c r="O2" s="12"/>
      <c r="P2" s="12"/>
      <c r="Q2" s="12"/>
      <c r="R2" s="12"/>
    </row>
    <row r="3" spans="1:18" ht="44.45" customHeight="1">
      <c r="A3" s="3">
        <f>1+A2</f>
        <v>2</v>
      </c>
      <c r="B3" s="4" t="s">
        <v>1527</v>
      </c>
      <c r="C3" s="4" t="s">
        <v>1521</v>
      </c>
      <c r="D3" s="4" t="s">
        <v>1528</v>
      </c>
      <c r="E3" s="4" t="s">
        <v>1529</v>
      </c>
      <c r="F3" s="4" t="s">
        <v>1530</v>
      </c>
      <c r="G3" s="4" t="s">
        <v>1531</v>
      </c>
      <c r="H3" s="4" t="s">
        <v>1532</v>
      </c>
      <c r="I3" s="7" t="s">
        <v>1044</v>
      </c>
      <c r="J3" s="7"/>
      <c r="K3" s="7"/>
      <c r="L3" s="81"/>
      <c r="M3" s="12"/>
      <c r="N3" s="12"/>
      <c r="O3" s="12"/>
      <c r="P3" s="12"/>
      <c r="Q3" s="12"/>
      <c r="R3" s="12"/>
    </row>
    <row r="4" spans="1:18" ht="44.45" customHeight="1">
      <c r="A4" s="3">
        <f t="shared" ref="A4:A33" si="0">1+A3</f>
        <v>3</v>
      </c>
      <c r="B4" s="4" t="s">
        <v>1533</v>
      </c>
      <c r="C4" s="4" t="s">
        <v>1521</v>
      </c>
      <c r="D4" s="4" t="s">
        <v>1534</v>
      </c>
      <c r="E4" s="4" t="s">
        <v>1535</v>
      </c>
      <c r="F4" s="4" t="s">
        <v>1536</v>
      </c>
      <c r="G4" s="4" t="s">
        <v>1537</v>
      </c>
      <c r="H4" s="4" t="s">
        <v>1538</v>
      </c>
      <c r="I4" s="7" t="s">
        <v>1044</v>
      </c>
      <c r="J4" s="7"/>
      <c r="K4" s="7"/>
      <c r="L4" s="81"/>
      <c r="M4" s="12"/>
      <c r="N4" s="12"/>
      <c r="O4" s="12"/>
      <c r="P4" s="12"/>
      <c r="Q4" s="12"/>
      <c r="R4" s="12"/>
    </row>
    <row r="5" spans="1:18" ht="44.45" customHeight="1">
      <c r="A5" s="3">
        <f t="shared" si="0"/>
        <v>4</v>
      </c>
      <c r="B5" s="4" t="s">
        <v>1539</v>
      </c>
      <c r="C5" s="4" t="s">
        <v>1521</v>
      </c>
      <c r="D5" s="4" t="s">
        <v>1540</v>
      </c>
      <c r="E5" s="4" t="s">
        <v>1541</v>
      </c>
      <c r="F5" s="4" t="s">
        <v>1542</v>
      </c>
      <c r="G5" s="4" t="s">
        <v>1543</v>
      </c>
      <c r="H5" s="4" t="s">
        <v>1544</v>
      </c>
      <c r="I5" s="7" t="s">
        <v>1044</v>
      </c>
      <c r="J5" s="7"/>
      <c r="K5" s="7"/>
      <c r="L5" s="81"/>
      <c r="M5" s="12"/>
      <c r="N5" s="12"/>
      <c r="O5" s="12"/>
      <c r="P5" s="12"/>
      <c r="Q5" s="12"/>
      <c r="R5" s="12"/>
    </row>
    <row r="6" spans="1:18" ht="44.45" customHeight="1">
      <c r="A6" s="3">
        <f t="shared" si="0"/>
        <v>5</v>
      </c>
      <c r="B6" s="4" t="s">
        <v>1545</v>
      </c>
      <c r="C6" s="4" t="s">
        <v>1521</v>
      </c>
      <c r="D6" s="4" t="s">
        <v>1546</v>
      </c>
      <c r="E6" s="4" t="s">
        <v>1547</v>
      </c>
      <c r="F6" s="4" t="s">
        <v>1542</v>
      </c>
      <c r="G6" s="4" t="s">
        <v>1548</v>
      </c>
      <c r="H6" s="4" t="s">
        <v>1549</v>
      </c>
      <c r="I6" s="7" t="s">
        <v>1044</v>
      </c>
      <c r="J6" s="7"/>
      <c r="K6" s="7"/>
      <c r="L6" s="81"/>
      <c r="M6" s="12"/>
      <c r="N6" s="12"/>
      <c r="O6" s="12"/>
      <c r="P6" s="12"/>
      <c r="Q6" s="12"/>
      <c r="R6" s="12"/>
    </row>
    <row r="7" spans="1:18" ht="44.45" customHeight="1">
      <c r="A7" s="3">
        <f t="shared" si="0"/>
        <v>6</v>
      </c>
      <c r="B7" s="4" t="s">
        <v>1550</v>
      </c>
      <c r="C7" s="4" t="s">
        <v>1521</v>
      </c>
      <c r="D7" s="4" t="s">
        <v>1551</v>
      </c>
      <c r="E7" s="4" t="s">
        <v>1552</v>
      </c>
      <c r="F7" s="4" t="s">
        <v>1553</v>
      </c>
      <c r="G7" s="4" t="s">
        <v>1554</v>
      </c>
      <c r="H7" s="4" t="s">
        <v>1555</v>
      </c>
      <c r="I7" s="7" t="s">
        <v>1044</v>
      </c>
      <c r="J7" s="7"/>
      <c r="K7" s="7"/>
      <c r="L7" s="81"/>
      <c r="M7" s="12"/>
      <c r="N7" s="12"/>
      <c r="O7" s="12"/>
      <c r="P7" s="12"/>
      <c r="Q7" s="12"/>
      <c r="R7" s="12"/>
    </row>
    <row r="8" spans="1:18" ht="44.45" customHeight="1">
      <c r="A8" s="3">
        <f t="shared" si="0"/>
        <v>7</v>
      </c>
      <c r="B8" s="4" t="s">
        <v>1556</v>
      </c>
      <c r="C8" s="4" t="s">
        <v>1521</v>
      </c>
      <c r="D8" s="4" t="s">
        <v>1557</v>
      </c>
      <c r="E8" s="4" t="s">
        <v>1558</v>
      </c>
      <c r="F8" s="4" t="s">
        <v>1559</v>
      </c>
      <c r="G8" s="4" t="s">
        <v>1560</v>
      </c>
      <c r="H8" s="4" t="s">
        <v>1561</v>
      </c>
      <c r="I8" s="7" t="s">
        <v>1044</v>
      </c>
      <c r="J8" s="7"/>
      <c r="K8" s="7"/>
      <c r="L8" s="81"/>
      <c r="M8" s="12"/>
      <c r="N8" s="12"/>
      <c r="O8" s="12"/>
      <c r="P8" s="12"/>
      <c r="Q8" s="12"/>
      <c r="R8" s="12"/>
    </row>
    <row r="9" spans="1:18" ht="44.45" customHeight="1">
      <c r="A9" s="3">
        <f t="shared" si="0"/>
        <v>8</v>
      </c>
      <c r="B9" s="4" t="s">
        <v>1562</v>
      </c>
      <c r="C9" s="4" t="s">
        <v>1521</v>
      </c>
      <c r="D9" s="4" t="s">
        <v>1563</v>
      </c>
      <c r="E9" s="4" t="s">
        <v>1564</v>
      </c>
      <c r="F9" s="4" t="s">
        <v>1542</v>
      </c>
      <c r="G9" s="4" t="s">
        <v>1565</v>
      </c>
      <c r="H9" s="4" t="s">
        <v>1566</v>
      </c>
      <c r="I9" s="7" t="s">
        <v>1044</v>
      </c>
      <c r="J9" s="7"/>
      <c r="K9" s="7"/>
      <c r="L9" s="81"/>
      <c r="M9" s="12"/>
      <c r="N9" s="12"/>
      <c r="O9" s="12"/>
      <c r="P9" s="12"/>
      <c r="Q9" s="12"/>
      <c r="R9" s="12"/>
    </row>
    <row r="10" spans="1:18" ht="44.45" customHeight="1">
      <c r="A10" s="3">
        <f t="shared" si="0"/>
        <v>9</v>
      </c>
      <c r="B10" s="4" t="s">
        <v>1567</v>
      </c>
      <c r="C10" s="4" t="s">
        <v>1521</v>
      </c>
      <c r="D10" s="4" t="s">
        <v>1568</v>
      </c>
      <c r="E10" s="4" t="s">
        <v>1569</v>
      </c>
      <c r="F10" s="4" t="s">
        <v>183</v>
      </c>
      <c r="G10" s="4" t="s">
        <v>1570</v>
      </c>
      <c r="H10" s="4" t="s">
        <v>1571</v>
      </c>
      <c r="I10" s="7" t="s">
        <v>1044</v>
      </c>
      <c r="J10" s="7"/>
      <c r="K10" s="7"/>
      <c r="L10" s="81"/>
      <c r="M10" s="12"/>
      <c r="N10" s="12"/>
      <c r="O10" s="12"/>
      <c r="P10" s="12"/>
      <c r="Q10" s="12"/>
      <c r="R10" s="12"/>
    </row>
    <row r="11" spans="1:18" ht="44.45" customHeight="1">
      <c r="A11" s="3">
        <f t="shared" si="0"/>
        <v>10</v>
      </c>
      <c r="B11" s="4" t="s">
        <v>1572</v>
      </c>
      <c r="C11" s="4" t="s">
        <v>1521</v>
      </c>
      <c r="D11" s="4" t="s">
        <v>1573</v>
      </c>
      <c r="E11" s="4" t="s">
        <v>1574</v>
      </c>
      <c r="F11" s="4" t="s">
        <v>1542</v>
      </c>
      <c r="G11" s="4" t="s">
        <v>1575</v>
      </c>
      <c r="H11" s="4" t="s">
        <v>1576</v>
      </c>
      <c r="I11" s="7" t="s">
        <v>1044</v>
      </c>
      <c r="J11" s="7"/>
      <c r="K11" s="7"/>
      <c r="L11" s="81"/>
      <c r="M11" s="12"/>
      <c r="N11" s="12"/>
      <c r="O11" s="12"/>
      <c r="P11" s="12"/>
      <c r="Q11" s="12"/>
      <c r="R11" s="12"/>
    </row>
    <row r="12" spans="1:18" ht="44.45" customHeight="1">
      <c r="A12" s="3">
        <f t="shared" si="0"/>
        <v>11</v>
      </c>
      <c r="B12" s="4" t="s">
        <v>1577</v>
      </c>
      <c r="C12" s="4" t="s">
        <v>1521</v>
      </c>
      <c r="D12" s="4" t="s">
        <v>1578</v>
      </c>
      <c r="E12" s="4" t="s">
        <v>1579</v>
      </c>
      <c r="F12" s="4" t="s">
        <v>1580</v>
      </c>
      <c r="G12" s="4" t="s">
        <v>1581</v>
      </c>
      <c r="H12" s="4" t="s">
        <v>1582</v>
      </c>
      <c r="I12" s="7" t="s">
        <v>1044</v>
      </c>
      <c r="J12" s="7"/>
      <c r="K12" s="7"/>
      <c r="L12" s="81"/>
      <c r="M12" s="12"/>
      <c r="N12" s="12"/>
      <c r="O12" s="12"/>
      <c r="P12" s="12"/>
      <c r="Q12" s="12"/>
      <c r="R12" s="12"/>
    </row>
    <row r="13" spans="1:18" ht="44.45" customHeight="1">
      <c r="A13" s="3">
        <f t="shared" si="0"/>
        <v>12</v>
      </c>
      <c r="B13" s="4" t="s">
        <v>1583</v>
      </c>
      <c r="C13" s="4" t="s">
        <v>1521</v>
      </c>
      <c r="D13" s="4" t="s">
        <v>1584</v>
      </c>
      <c r="E13" s="4" t="s">
        <v>1585</v>
      </c>
      <c r="F13" s="4" t="s">
        <v>644</v>
      </c>
      <c r="G13" s="4" t="s">
        <v>1586</v>
      </c>
      <c r="H13" s="4" t="s">
        <v>1587</v>
      </c>
      <c r="I13" s="7" t="s">
        <v>1044</v>
      </c>
      <c r="J13" s="7"/>
      <c r="K13" s="7"/>
      <c r="L13" s="81"/>
      <c r="M13" s="12"/>
      <c r="N13" s="12"/>
      <c r="O13" s="12"/>
      <c r="P13" s="12"/>
      <c r="Q13" s="12"/>
      <c r="R13" s="12"/>
    </row>
    <row r="14" spans="1:18" ht="44.45" customHeight="1">
      <c r="A14" s="3">
        <f t="shared" si="0"/>
        <v>13</v>
      </c>
      <c r="B14" s="4" t="s">
        <v>1588</v>
      </c>
      <c r="C14" s="4" t="s">
        <v>1521</v>
      </c>
      <c r="D14" s="4" t="s">
        <v>1589</v>
      </c>
      <c r="E14" s="4" t="s">
        <v>1590</v>
      </c>
      <c r="F14" s="4" t="s">
        <v>183</v>
      </c>
      <c r="G14" s="4" t="s">
        <v>1591</v>
      </c>
      <c r="H14" s="4" t="s">
        <v>1592</v>
      </c>
      <c r="I14" s="7" t="s">
        <v>1044</v>
      </c>
      <c r="J14" s="7"/>
      <c r="K14" s="7"/>
      <c r="L14" s="81"/>
      <c r="M14" s="12"/>
      <c r="N14" s="12"/>
      <c r="O14" s="12"/>
      <c r="P14" s="12"/>
      <c r="Q14" s="12"/>
      <c r="R14" s="12"/>
    </row>
    <row r="15" spans="1:18" ht="44.45" customHeight="1">
      <c r="A15" s="3">
        <f t="shared" si="0"/>
        <v>14</v>
      </c>
      <c r="B15" s="4" t="s">
        <v>1593</v>
      </c>
      <c r="C15" s="4" t="s">
        <v>1521</v>
      </c>
      <c r="D15" s="4" t="s">
        <v>1594</v>
      </c>
      <c r="E15" s="4" t="s">
        <v>1595</v>
      </c>
      <c r="F15" s="4" t="s">
        <v>1580</v>
      </c>
      <c r="G15" s="4" t="s">
        <v>1596</v>
      </c>
      <c r="H15" s="4" t="s">
        <v>1597</v>
      </c>
      <c r="I15" s="7" t="s">
        <v>1044</v>
      </c>
      <c r="J15" s="7"/>
      <c r="K15" s="7"/>
      <c r="L15" s="81"/>
      <c r="M15" s="12"/>
      <c r="N15" s="12"/>
      <c r="O15" s="12"/>
      <c r="P15" s="12"/>
      <c r="Q15" s="12"/>
      <c r="R15" s="12"/>
    </row>
    <row r="16" spans="1:18" ht="44.45" customHeight="1">
      <c r="A16" s="3">
        <f t="shared" si="0"/>
        <v>15</v>
      </c>
      <c r="B16" s="4" t="s">
        <v>1598</v>
      </c>
      <c r="C16" s="4" t="s">
        <v>1521</v>
      </c>
      <c r="D16" s="4" t="s">
        <v>1599</v>
      </c>
      <c r="E16" s="4" t="s">
        <v>1600</v>
      </c>
      <c r="F16" s="4" t="s">
        <v>1601</v>
      </c>
      <c r="G16" s="4" t="s">
        <v>1602</v>
      </c>
      <c r="H16" s="4" t="s">
        <v>1603</v>
      </c>
      <c r="I16" s="7" t="s">
        <v>1044</v>
      </c>
      <c r="J16" s="7"/>
      <c r="K16" s="7"/>
      <c r="L16" s="81"/>
      <c r="M16" s="12"/>
      <c r="N16" s="12"/>
      <c r="O16" s="12"/>
      <c r="P16" s="12"/>
      <c r="Q16" s="12"/>
      <c r="R16" s="12"/>
    </row>
    <row r="17" spans="1:18" ht="44.45" customHeight="1">
      <c r="A17" s="3">
        <f t="shared" si="0"/>
        <v>16</v>
      </c>
      <c r="B17" s="4" t="s">
        <v>1604</v>
      </c>
      <c r="C17" s="4" t="s">
        <v>1521</v>
      </c>
      <c r="D17" s="4" t="s">
        <v>1605</v>
      </c>
      <c r="E17" s="4" t="s">
        <v>1606</v>
      </c>
      <c r="F17" s="4" t="s">
        <v>1607</v>
      </c>
      <c r="G17" s="4" t="s">
        <v>1608</v>
      </c>
      <c r="H17" s="4" t="s">
        <v>1609</v>
      </c>
      <c r="I17" s="7" t="s">
        <v>1044</v>
      </c>
      <c r="J17" s="7"/>
      <c r="K17" s="7"/>
      <c r="L17" s="81"/>
      <c r="M17" s="12"/>
      <c r="N17" s="12"/>
      <c r="O17" s="12"/>
      <c r="P17" s="12"/>
      <c r="Q17" s="12"/>
      <c r="R17" s="12"/>
    </row>
    <row r="18" spans="1:18" ht="44.45" customHeight="1">
      <c r="A18" s="3">
        <f t="shared" si="0"/>
        <v>17</v>
      </c>
      <c r="B18" s="4" t="s">
        <v>1610</v>
      </c>
      <c r="C18" s="4" t="s">
        <v>1521</v>
      </c>
      <c r="D18" s="4" t="s">
        <v>1611</v>
      </c>
      <c r="E18" s="4" t="s">
        <v>1612</v>
      </c>
      <c r="F18" s="4" t="s">
        <v>1613</v>
      </c>
      <c r="G18" s="4" t="s">
        <v>1614</v>
      </c>
      <c r="H18" s="4" t="s">
        <v>1615</v>
      </c>
      <c r="I18" s="7" t="s">
        <v>1044</v>
      </c>
      <c r="J18" s="7"/>
      <c r="K18" s="7"/>
      <c r="L18" s="81"/>
      <c r="M18" s="12"/>
      <c r="N18" s="12"/>
      <c r="O18" s="12"/>
      <c r="P18" s="12"/>
      <c r="Q18" s="12"/>
      <c r="R18" s="12"/>
    </row>
    <row r="19" spans="1:18" ht="44.45" customHeight="1">
      <c r="A19" s="3">
        <f t="shared" si="0"/>
        <v>18</v>
      </c>
      <c r="B19" s="4" t="s">
        <v>1616</v>
      </c>
      <c r="C19" s="4" t="s">
        <v>1521</v>
      </c>
      <c r="D19" s="4" t="s">
        <v>1617</v>
      </c>
      <c r="E19" s="4" t="s">
        <v>1618</v>
      </c>
      <c r="F19" s="4" t="s">
        <v>1619</v>
      </c>
      <c r="G19" s="4" t="s">
        <v>1620</v>
      </c>
      <c r="H19" s="4" t="s">
        <v>1621</v>
      </c>
      <c r="I19" s="7" t="s">
        <v>1044</v>
      </c>
      <c r="J19" s="7"/>
      <c r="K19" s="7"/>
      <c r="L19" s="81"/>
      <c r="M19" s="12"/>
      <c r="N19" s="12"/>
      <c r="O19" s="12"/>
      <c r="P19" s="12"/>
      <c r="Q19" s="12"/>
      <c r="R19" s="12"/>
    </row>
    <row r="20" spans="1:18" ht="44.45" customHeight="1">
      <c r="A20" s="3">
        <f t="shared" si="0"/>
        <v>19</v>
      </c>
      <c r="B20" s="4" t="s">
        <v>1622</v>
      </c>
      <c r="C20" s="4" t="s">
        <v>1521</v>
      </c>
      <c r="D20" s="4" t="s">
        <v>1623</v>
      </c>
      <c r="E20" s="4" t="s">
        <v>1624</v>
      </c>
      <c r="F20" s="4" t="s">
        <v>1625</v>
      </c>
      <c r="G20" s="4" t="s">
        <v>1626</v>
      </c>
      <c r="H20" s="4" t="s">
        <v>1627</v>
      </c>
      <c r="I20" s="7" t="s">
        <v>1044</v>
      </c>
      <c r="J20" s="7"/>
      <c r="K20" s="7"/>
      <c r="L20" s="81"/>
      <c r="M20" s="12"/>
      <c r="N20" s="12"/>
      <c r="O20" s="12"/>
      <c r="P20" s="12"/>
      <c r="Q20" s="12"/>
      <c r="R20" s="12"/>
    </row>
    <row r="21" spans="1:18" ht="44.45" customHeight="1">
      <c r="A21" s="3">
        <f t="shared" si="0"/>
        <v>20</v>
      </c>
      <c r="B21" s="4" t="s">
        <v>1628</v>
      </c>
      <c r="C21" s="4" t="s">
        <v>1521</v>
      </c>
      <c r="D21" s="4" t="s">
        <v>1629</v>
      </c>
      <c r="E21" s="4" t="s">
        <v>1630</v>
      </c>
      <c r="F21" s="4" t="s">
        <v>1631</v>
      </c>
      <c r="G21" s="4" t="s">
        <v>1632</v>
      </c>
      <c r="H21" s="4" t="s">
        <v>1633</v>
      </c>
      <c r="I21" s="7" t="s">
        <v>1044</v>
      </c>
      <c r="J21" s="7"/>
      <c r="K21" s="7"/>
      <c r="L21" s="81"/>
      <c r="M21" s="12"/>
      <c r="N21" s="12"/>
      <c r="O21" s="12"/>
      <c r="P21" s="12"/>
      <c r="Q21" s="12"/>
      <c r="R21" s="12"/>
    </row>
    <row r="22" spans="1:18" ht="44.45" customHeight="1">
      <c r="A22" s="3">
        <f t="shared" si="0"/>
        <v>21</v>
      </c>
      <c r="B22" s="4" t="s">
        <v>1634</v>
      </c>
      <c r="C22" s="4" t="s">
        <v>1521</v>
      </c>
      <c r="D22" s="4" t="s">
        <v>1635</v>
      </c>
      <c r="E22" s="4" t="s">
        <v>1636</v>
      </c>
      <c r="F22" s="4" t="s">
        <v>1524</v>
      </c>
      <c r="G22" s="4" t="s">
        <v>1637</v>
      </c>
      <c r="H22" s="4" t="s">
        <v>1638</v>
      </c>
      <c r="I22" s="7" t="s">
        <v>1044</v>
      </c>
      <c r="J22" s="7"/>
      <c r="K22" s="7"/>
      <c r="L22" s="81"/>
      <c r="M22" s="12"/>
      <c r="N22" s="12"/>
      <c r="O22" s="12"/>
      <c r="P22" s="12"/>
      <c r="Q22" s="12"/>
      <c r="R22" s="12"/>
    </row>
    <row r="23" spans="1:18" ht="44.45" customHeight="1">
      <c r="A23" s="3">
        <f t="shared" si="0"/>
        <v>22</v>
      </c>
      <c r="B23" s="4" t="s">
        <v>1639</v>
      </c>
      <c r="C23" s="4" t="s">
        <v>1521</v>
      </c>
      <c r="D23" s="4" t="s">
        <v>1640</v>
      </c>
      <c r="E23" s="4" t="s">
        <v>1641</v>
      </c>
      <c r="F23" s="4" t="s">
        <v>1642</v>
      </c>
      <c r="G23" s="4" t="s">
        <v>1643</v>
      </c>
      <c r="H23" s="4" t="s">
        <v>1644</v>
      </c>
      <c r="I23" s="7" t="s">
        <v>1044</v>
      </c>
      <c r="J23" s="7"/>
      <c r="K23" s="7"/>
      <c r="L23" s="81"/>
      <c r="M23" s="12"/>
      <c r="N23" s="12"/>
      <c r="O23" s="12"/>
      <c r="P23" s="12"/>
      <c r="Q23" s="12"/>
      <c r="R23" s="12"/>
    </row>
    <row r="24" spans="1:18" ht="44.45" customHeight="1">
      <c r="A24" s="3">
        <f t="shared" si="0"/>
        <v>23</v>
      </c>
      <c r="B24" s="4" t="s">
        <v>1645</v>
      </c>
      <c r="C24" s="4" t="s">
        <v>1521</v>
      </c>
      <c r="D24" s="4" t="s">
        <v>1646</v>
      </c>
      <c r="E24" s="4" t="s">
        <v>1647</v>
      </c>
      <c r="F24" s="4" t="s">
        <v>1648</v>
      </c>
      <c r="G24" s="4" t="s">
        <v>1649</v>
      </c>
      <c r="H24" s="4" t="s">
        <v>1650</v>
      </c>
      <c r="I24" s="7" t="s">
        <v>1044</v>
      </c>
      <c r="J24" s="7"/>
      <c r="K24" s="7"/>
      <c r="L24" s="81"/>
      <c r="M24" s="12"/>
      <c r="N24" s="12"/>
      <c r="O24" s="12"/>
      <c r="P24" s="12"/>
      <c r="Q24" s="12"/>
      <c r="R24" s="12"/>
    </row>
    <row r="25" spans="1:18" ht="44.45" customHeight="1">
      <c r="A25" s="3">
        <f t="shared" si="0"/>
        <v>24</v>
      </c>
      <c r="B25" s="4" t="s">
        <v>1651</v>
      </c>
      <c r="C25" s="4" t="s">
        <v>1521</v>
      </c>
      <c r="D25" s="4" t="s">
        <v>1652</v>
      </c>
      <c r="E25" s="4" t="s">
        <v>1653</v>
      </c>
      <c r="F25" s="4" t="s">
        <v>1654</v>
      </c>
      <c r="G25" s="4" t="s">
        <v>1655</v>
      </c>
      <c r="H25" s="4" t="s">
        <v>1656</v>
      </c>
      <c r="I25" s="7" t="s">
        <v>1044</v>
      </c>
      <c r="J25" s="7"/>
      <c r="K25" s="7"/>
      <c r="L25" s="81"/>
      <c r="M25" s="12"/>
      <c r="N25" s="12"/>
      <c r="O25" s="12"/>
      <c r="P25" s="12"/>
      <c r="Q25" s="12"/>
      <c r="R25" s="12"/>
    </row>
    <row r="26" spans="1:18" ht="44.45" customHeight="1">
      <c r="A26" s="3">
        <f t="shared" si="0"/>
        <v>25</v>
      </c>
      <c r="B26" s="4" t="s">
        <v>1657</v>
      </c>
      <c r="C26" s="4" t="s">
        <v>1521</v>
      </c>
      <c r="D26" s="4" t="s">
        <v>1658</v>
      </c>
      <c r="E26" s="4" t="s">
        <v>1659</v>
      </c>
      <c r="F26" s="4" t="s">
        <v>1660</v>
      </c>
      <c r="G26" s="4" t="s">
        <v>1661</v>
      </c>
      <c r="H26" s="4" t="s">
        <v>1662</v>
      </c>
      <c r="I26" s="7" t="s">
        <v>1044</v>
      </c>
      <c r="J26" s="7"/>
      <c r="K26" s="7"/>
      <c r="L26" s="81"/>
      <c r="M26" s="12"/>
      <c r="N26" s="12"/>
      <c r="O26" s="12"/>
      <c r="P26" s="12"/>
      <c r="Q26" s="12"/>
      <c r="R26" s="12"/>
    </row>
    <row r="27" spans="1:18" ht="44.45" customHeight="1">
      <c r="A27" s="3">
        <f t="shared" si="0"/>
        <v>26</v>
      </c>
      <c r="B27" s="4" t="s">
        <v>1663</v>
      </c>
      <c r="C27" s="4" t="s">
        <v>1664</v>
      </c>
      <c r="D27" s="4" t="s">
        <v>1665</v>
      </c>
      <c r="E27" s="4" t="s">
        <v>1666</v>
      </c>
      <c r="F27" s="4" t="s">
        <v>1667</v>
      </c>
      <c r="G27" s="4" t="s">
        <v>1668</v>
      </c>
      <c r="H27" s="4" t="s">
        <v>1669</v>
      </c>
      <c r="I27" s="7" t="s">
        <v>1044</v>
      </c>
      <c r="J27" s="7"/>
      <c r="K27" s="7"/>
      <c r="L27" s="81"/>
      <c r="M27" s="12"/>
      <c r="N27" s="12"/>
      <c r="O27" s="12"/>
      <c r="P27" s="12"/>
      <c r="Q27" s="12"/>
      <c r="R27" s="12"/>
    </row>
    <row r="28" spans="1:18" ht="44.45" customHeight="1">
      <c r="A28" s="3">
        <f t="shared" si="0"/>
        <v>27</v>
      </c>
      <c r="B28" s="4" t="s">
        <v>1670</v>
      </c>
      <c r="C28" s="4" t="s">
        <v>1521</v>
      </c>
      <c r="D28" s="4" t="s">
        <v>1671</v>
      </c>
      <c r="E28" s="4" t="s">
        <v>1672</v>
      </c>
      <c r="F28" s="4" t="s">
        <v>1673</v>
      </c>
      <c r="G28" s="4" t="s">
        <v>1674</v>
      </c>
      <c r="H28" s="4" t="s">
        <v>1675</v>
      </c>
      <c r="I28" s="7" t="s">
        <v>1044</v>
      </c>
      <c r="J28" s="7"/>
      <c r="K28" s="7"/>
      <c r="L28" s="81"/>
      <c r="M28" s="12"/>
      <c r="N28" s="12"/>
      <c r="O28" s="12"/>
      <c r="P28" s="12"/>
      <c r="Q28" s="12"/>
      <c r="R28" s="12"/>
    </row>
    <row r="29" spans="1:18" ht="44.45" customHeight="1">
      <c r="A29" s="3">
        <f t="shared" si="0"/>
        <v>28</v>
      </c>
      <c r="B29" s="4" t="s">
        <v>1676</v>
      </c>
      <c r="C29" s="4" t="s">
        <v>1521</v>
      </c>
      <c r="D29" s="4" t="s">
        <v>1677</v>
      </c>
      <c r="E29" s="4" t="s">
        <v>1678</v>
      </c>
      <c r="F29" s="4" t="s">
        <v>1679</v>
      </c>
      <c r="G29" s="4" t="s">
        <v>1680</v>
      </c>
      <c r="H29" s="4" t="s">
        <v>1681</v>
      </c>
      <c r="I29" s="7" t="s">
        <v>1044</v>
      </c>
      <c r="J29" s="7"/>
      <c r="K29" s="7"/>
      <c r="L29" s="81"/>
      <c r="M29" s="12"/>
      <c r="N29" s="12"/>
      <c r="O29" s="12"/>
      <c r="P29" s="12"/>
      <c r="Q29" s="12"/>
      <c r="R29" s="12"/>
    </row>
    <row r="30" spans="1:18" ht="44.45" customHeight="1">
      <c r="A30" s="3">
        <f t="shared" si="0"/>
        <v>29</v>
      </c>
      <c r="B30" s="4" t="s">
        <v>1682</v>
      </c>
      <c r="C30" s="4" t="s">
        <v>1521</v>
      </c>
      <c r="D30" s="4" t="s">
        <v>1683</v>
      </c>
      <c r="E30" s="4" t="s">
        <v>1684</v>
      </c>
      <c r="F30" s="4" t="s">
        <v>612</v>
      </c>
      <c r="G30" s="4" t="s">
        <v>1685</v>
      </c>
      <c r="H30" s="4" t="s">
        <v>1686</v>
      </c>
      <c r="I30" s="7" t="s">
        <v>1044</v>
      </c>
      <c r="J30" s="7"/>
      <c r="K30" s="7"/>
      <c r="L30" s="81"/>
      <c r="M30" s="12"/>
      <c r="N30" s="12"/>
      <c r="O30" s="12"/>
      <c r="P30" s="12"/>
      <c r="Q30" s="12"/>
      <c r="R30" s="12"/>
    </row>
    <row r="31" spans="1:18" ht="44.45" customHeight="1">
      <c r="A31" s="3">
        <f t="shared" si="0"/>
        <v>30</v>
      </c>
      <c r="B31" s="16" t="s">
        <v>1687</v>
      </c>
      <c r="C31" s="16" t="s">
        <v>1521</v>
      </c>
      <c r="D31" s="16" t="s">
        <v>1688</v>
      </c>
      <c r="E31" s="16" t="s">
        <v>1689</v>
      </c>
      <c r="F31" s="16" t="s">
        <v>847</v>
      </c>
      <c r="G31" s="16" t="s">
        <v>1690</v>
      </c>
      <c r="H31" s="16" t="s">
        <v>1691</v>
      </c>
      <c r="I31" s="7" t="s">
        <v>1044</v>
      </c>
      <c r="J31" s="17"/>
      <c r="K31" s="17"/>
      <c r="L31" s="22"/>
      <c r="M31" s="12"/>
      <c r="N31" s="12"/>
      <c r="O31" s="12"/>
      <c r="P31" s="12"/>
      <c r="Q31" s="12"/>
      <c r="R31" s="12"/>
    </row>
    <row r="32" spans="1:18" ht="44.45" customHeight="1">
      <c r="A32" s="15">
        <f t="shared" si="0"/>
        <v>31</v>
      </c>
      <c r="B32" s="18" t="s">
        <v>1692</v>
      </c>
      <c r="C32" s="18" t="s">
        <v>1664</v>
      </c>
      <c r="D32" s="18" t="s">
        <v>1693</v>
      </c>
      <c r="E32" s="18" t="s">
        <v>1694</v>
      </c>
      <c r="F32" s="18" t="s">
        <v>1695</v>
      </c>
      <c r="G32" s="18" t="s">
        <v>1696</v>
      </c>
      <c r="H32" s="18" t="s">
        <v>1697</v>
      </c>
      <c r="I32" s="7" t="s">
        <v>1044</v>
      </c>
      <c r="J32" s="18"/>
      <c r="K32" s="12"/>
      <c r="L32" s="58"/>
      <c r="M32" s="18"/>
      <c r="N32" s="12"/>
      <c r="O32" s="12"/>
      <c r="P32" s="12"/>
      <c r="Q32" s="12"/>
      <c r="R32" s="12"/>
    </row>
    <row r="33" spans="1:18" ht="44.45" customHeight="1">
      <c r="A33" s="15">
        <f t="shared" si="0"/>
        <v>32</v>
      </c>
      <c r="B33" s="18" t="s">
        <v>1698</v>
      </c>
      <c r="C33" s="18" t="s">
        <v>1664</v>
      </c>
      <c r="D33" s="18" t="s">
        <v>1699</v>
      </c>
      <c r="E33" s="18" t="s">
        <v>1700</v>
      </c>
      <c r="F33" s="18" t="s">
        <v>1695</v>
      </c>
      <c r="G33" s="18" t="s">
        <v>1701</v>
      </c>
      <c r="H33" s="18" t="s">
        <v>1702</v>
      </c>
      <c r="I33" s="7" t="s">
        <v>1044</v>
      </c>
      <c r="J33" s="18"/>
      <c r="K33" s="12"/>
      <c r="L33" s="58"/>
      <c r="M33" s="18"/>
      <c r="N33" s="12"/>
      <c r="O33" s="12"/>
      <c r="P33" s="12"/>
      <c r="Q33" s="12"/>
      <c r="R33"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03FB-558F-4005-9FCC-426113C57E22}">
  <dimension ref="A1:S43"/>
  <sheetViews>
    <sheetView workbookViewId="0">
      <selection activeCell="D53" sqref="D53"/>
    </sheetView>
  </sheetViews>
  <sheetFormatPr defaultRowHeight="15"/>
  <cols>
    <col min="1" max="1" width="7.140625" customWidth="1"/>
    <col min="2" max="2" width="12.5703125" customWidth="1"/>
    <col min="3" max="3" width="14" customWidth="1"/>
    <col min="4" max="4" width="18.7109375" customWidth="1"/>
    <col min="5" max="5" width="21.28515625" customWidth="1"/>
    <col min="6" max="6" width="23.28515625" bestFit="1" customWidth="1"/>
    <col min="7" max="7" width="20.42578125" customWidth="1"/>
    <col min="8" max="8" width="38.140625" customWidth="1"/>
    <col min="9" max="9" width="35.140625" customWidth="1"/>
    <col min="10" max="10" width="22.85546875" customWidth="1"/>
    <col min="11" max="11" width="19.140625" customWidth="1"/>
    <col min="12" max="12" width="22.5703125" customWidth="1"/>
    <col min="13" max="13" width="14.5703125" customWidth="1"/>
    <col min="14" max="14" width="18.5703125" customWidth="1"/>
    <col min="15" max="15" width="18.85546875" customWidth="1"/>
    <col min="16" max="16" width="18.5703125" customWidth="1"/>
    <col min="17" max="18" width="18.42578125" customWidth="1"/>
    <col min="19" max="19" width="19.85546875" customWidth="1"/>
  </cols>
  <sheetData>
    <row r="1" spans="1:19" ht="42.75" customHeight="1">
      <c r="A1" s="1" t="s">
        <v>48</v>
      </c>
      <c r="B1" s="2" t="s">
        <v>49</v>
      </c>
      <c r="C1" s="2" t="s">
        <v>50</v>
      </c>
      <c r="D1" s="2" t="s">
        <v>427</v>
      </c>
      <c r="E1" s="2" t="s">
        <v>16</v>
      </c>
      <c r="F1" s="2" t="s">
        <v>52</v>
      </c>
      <c r="G1" s="2" t="s">
        <v>53</v>
      </c>
      <c r="H1" s="2" t="s">
        <v>54</v>
      </c>
      <c r="I1" s="2" t="s">
        <v>55</v>
      </c>
      <c r="J1" s="2" t="s">
        <v>56</v>
      </c>
      <c r="K1" s="2" t="s">
        <v>57</v>
      </c>
      <c r="L1" s="2" t="s">
        <v>58</v>
      </c>
      <c r="M1" s="2" t="s">
        <v>59</v>
      </c>
      <c r="N1" s="82" t="s">
        <v>60</v>
      </c>
      <c r="O1" s="82" t="s">
        <v>61</v>
      </c>
      <c r="P1" s="82" t="s">
        <v>62</v>
      </c>
      <c r="Q1" s="82" t="s">
        <v>63</v>
      </c>
      <c r="R1" s="82" t="s">
        <v>64</v>
      </c>
      <c r="S1" s="82" t="s">
        <v>46</v>
      </c>
    </row>
    <row r="2" spans="1:19" ht="43.5">
      <c r="A2" s="3">
        <v>1</v>
      </c>
      <c r="B2" s="4" t="s">
        <v>1703</v>
      </c>
      <c r="C2" s="4" t="s">
        <v>1704</v>
      </c>
      <c r="D2" s="4" t="s">
        <v>1705</v>
      </c>
      <c r="E2" s="4" t="s">
        <v>1706</v>
      </c>
      <c r="F2" s="4" t="s">
        <v>1707</v>
      </c>
      <c r="G2" s="4" t="s">
        <v>847</v>
      </c>
      <c r="H2" s="4" t="s">
        <v>1708</v>
      </c>
      <c r="I2" s="4" t="s">
        <v>1709</v>
      </c>
      <c r="J2" s="7"/>
      <c r="K2" s="7"/>
      <c r="L2" s="7"/>
      <c r="M2" s="81"/>
      <c r="N2" s="12"/>
      <c r="O2" s="12"/>
      <c r="P2" s="12"/>
      <c r="Q2" s="12"/>
      <c r="R2" s="12"/>
      <c r="S2" s="12"/>
    </row>
    <row r="3" spans="1:19" ht="43.5">
      <c r="A3" s="3">
        <f>1+A2</f>
        <v>2</v>
      </c>
      <c r="B3" s="4" t="s">
        <v>1710</v>
      </c>
      <c r="C3" s="4" t="s">
        <v>1704</v>
      </c>
      <c r="D3" s="4" t="s">
        <v>1705</v>
      </c>
      <c r="E3" s="4" t="s">
        <v>1711</v>
      </c>
      <c r="F3" s="4" t="s">
        <v>1712</v>
      </c>
      <c r="G3" s="4" t="s">
        <v>847</v>
      </c>
      <c r="H3" s="4" t="s">
        <v>1713</v>
      </c>
      <c r="I3" s="4" t="s">
        <v>1714</v>
      </c>
      <c r="J3" s="7"/>
      <c r="K3" s="7"/>
      <c r="L3" s="7"/>
      <c r="M3" s="81"/>
      <c r="N3" s="12"/>
      <c r="O3" s="12"/>
      <c r="P3" s="12"/>
      <c r="Q3" s="12"/>
      <c r="R3" s="12"/>
      <c r="S3" s="12"/>
    </row>
    <row r="4" spans="1:19" ht="43.5">
      <c r="A4" s="3">
        <f t="shared" ref="A4:A43" si="0">1+A3</f>
        <v>3</v>
      </c>
      <c r="B4" s="4" t="s">
        <v>1715</v>
      </c>
      <c r="C4" s="4" t="s">
        <v>1704</v>
      </c>
      <c r="D4" s="4" t="s">
        <v>1705</v>
      </c>
      <c r="E4" s="4" t="s">
        <v>1716</v>
      </c>
      <c r="F4" s="4" t="s">
        <v>1717</v>
      </c>
      <c r="G4" s="4" t="s">
        <v>1718</v>
      </c>
      <c r="H4" s="4" t="s">
        <v>1719</v>
      </c>
      <c r="I4" s="4" t="s">
        <v>1720</v>
      </c>
      <c r="J4" s="7"/>
      <c r="K4" s="7"/>
      <c r="L4" s="7"/>
      <c r="M4" s="81"/>
      <c r="N4" s="12"/>
      <c r="O4" s="12"/>
      <c r="P4" s="12"/>
      <c r="Q4" s="12"/>
      <c r="R4" s="12"/>
      <c r="S4" s="12"/>
    </row>
    <row r="5" spans="1:19" ht="43.5">
      <c r="A5" s="3">
        <f t="shared" si="0"/>
        <v>4</v>
      </c>
      <c r="B5" s="4" t="s">
        <v>1721</v>
      </c>
      <c r="C5" s="4" t="s">
        <v>1704</v>
      </c>
      <c r="D5" s="4" t="s">
        <v>616</v>
      </c>
      <c r="E5" s="4" t="s">
        <v>1722</v>
      </c>
      <c r="F5" s="4" t="s">
        <v>1723</v>
      </c>
      <c r="G5" s="4" t="s">
        <v>1724</v>
      </c>
      <c r="H5" s="4" t="s">
        <v>1725</v>
      </c>
      <c r="I5" s="4" t="s">
        <v>1726</v>
      </c>
      <c r="J5" s="7"/>
      <c r="K5" s="7"/>
      <c r="L5" s="7"/>
      <c r="M5" s="81"/>
      <c r="N5" s="12"/>
      <c r="O5" s="12"/>
      <c r="P5" s="12"/>
      <c r="Q5" s="12"/>
      <c r="R5" s="12"/>
      <c r="S5" s="12"/>
    </row>
    <row r="6" spans="1:19" ht="43.5">
      <c r="A6" s="3">
        <f t="shared" si="0"/>
        <v>5</v>
      </c>
      <c r="B6" s="4" t="s">
        <v>1727</v>
      </c>
      <c r="C6" s="4" t="s">
        <v>1704</v>
      </c>
      <c r="D6" s="4" t="s">
        <v>616</v>
      </c>
      <c r="E6" s="4" t="s">
        <v>1728</v>
      </c>
      <c r="F6" s="4" t="s">
        <v>1729</v>
      </c>
      <c r="G6" s="4" t="s">
        <v>1730</v>
      </c>
      <c r="H6" s="4" t="s">
        <v>1731</v>
      </c>
      <c r="I6" s="4" t="s">
        <v>1732</v>
      </c>
      <c r="J6" s="7"/>
      <c r="K6" s="7"/>
      <c r="L6" s="7"/>
      <c r="M6" s="81"/>
      <c r="N6" s="12"/>
      <c r="O6" s="12"/>
      <c r="P6" s="12"/>
      <c r="Q6" s="12"/>
      <c r="R6" s="12"/>
      <c r="S6" s="12"/>
    </row>
    <row r="7" spans="1:19" ht="43.5">
      <c r="A7" s="3">
        <f t="shared" si="0"/>
        <v>6</v>
      </c>
      <c r="B7" s="4" t="s">
        <v>1733</v>
      </c>
      <c r="C7" s="4" t="s">
        <v>1704</v>
      </c>
      <c r="D7" s="4" t="s">
        <v>1705</v>
      </c>
      <c r="E7" s="4" t="s">
        <v>1734</v>
      </c>
      <c r="F7" s="4" t="s">
        <v>1735</v>
      </c>
      <c r="G7" s="4" t="s">
        <v>683</v>
      </c>
      <c r="H7" s="4" t="s">
        <v>1736</v>
      </c>
      <c r="I7" s="4" t="s">
        <v>1737</v>
      </c>
      <c r="J7" s="7"/>
      <c r="K7" s="7"/>
      <c r="L7" s="7"/>
      <c r="M7" s="81"/>
      <c r="N7" s="12"/>
      <c r="O7" s="12"/>
      <c r="P7" s="12"/>
      <c r="Q7" s="12"/>
      <c r="R7" s="12"/>
      <c r="S7" s="12"/>
    </row>
    <row r="8" spans="1:19" ht="29.25">
      <c r="A8" s="3">
        <f t="shared" si="0"/>
        <v>7</v>
      </c>
      <c r="B8" s="4" t="s">
        <v>1738</v>
      </c>
      <c r="C8" s="4" t="s">
        <v>1704</v>
      </c>
      <c r="D8" s="4" t="s">
        <v>1705</v>
      </c>
      <c r="E8" s="4" t="s">
        <v>1739</v>
      </c>
      <c r="F8" s="4" t="s">
        <v>1740</v>
      </c>
      <c r="G8" s="4" t="s">
        <v>548</v>
      </c>
      <c r="H8" s="4" t="s">
        <v>1741</v>
      </c>
      <c r="I8" s="4" t="s">
        <v>1742</v>
      </c>
      <c r="J8" s="7"/>
      <c r="K8" s="7"/>
      <c r="L8" s="7"/>
      <c r="M8" s="81"/>
      <c r="N8" s="12"/>
      <c r="O8" s="12"/>
      <c r="P8" s="12"/>
      <c r="Q8" s="12"/>
      <c r="R8" s="12"/>
      <c r="S8" s="12"/>
    </row>
    <row r="9" spans="1:19" ht="43.5">
      <c r="A9" s="3">
        <f t="shared" si="0"/>
        <v>8</v>
      </c>
      <c r="B9" s="4" t="s">
        <v>1743</v>
      </c>
      <c r="C9" s="4" t="s">
        <v>1704</v>
      </c>
      <c r="D9" s="4" t="s">
        <v>1705</v>
      </c>
      <c r="E9" s="4" t="s">
        <v>1744</v>
      </c>
      <c r="F9" s="4" t="s">
        <v>1745</v>
      </c>
      <c r="G9" s="4" t="s">
        <v>554</v>
      </c>
      <c r="H9" s="4" t="s">
        <v>1746</v>
      </c>
      <c r="I9" s="4" t="s">
        <v>1747</v>
      </c>
      <c r="J9" s="7"/>
      <c r="K9" s="7"/>
      <c r="L9" s="7"/>
      <c r="M9" s="81"/>
      <c r="N9" s="12"/>
      <c r="O9" s="12"/>
      <c r="P9" s="12"/>
      <c r="Q9" s="12"/>
      <c r="R9" s="12"/>
      <c r="S9" s="12"/>
    </row>
    <row r="10" spans="1:19" ht="43.5">
      <c r="A10" s="3">
        <f t="shared" si="0"/>
        <v>9</v>
      </c>
      <c r="B10" s="4" t="s">
        <v>1748</v>
      </c>
      <c r="C10" s="4" t="s">
        <v>1704</v>
      </c>
      <c r="D10" s="4" t="s">
        <v>1705</v>
      </c>
      <c r="E10" s="4" t="s">
        <v>1749</v>
      </c>
      <c r="F10" s="4" t="s">
        <v>1750</v>
      </c>
      <c r="G10" s="4" t="s">
        <v>1607</v>
      </c>
      <c r="H10" s="4" t="s">
        <v>1751</v>
      </c>
      <c r="I10" s="4" t="s">
        <v>1752</v>
      </c>
      <c r="J10" s="7"/>
      <c r="K10" s="7"/>
      <c r="L10" s="7"/>
      <c r="M10" s="81"/>
      <c r="N10" s="12"/>
      <c r="O10" s="12"/>
      <c r="P10" s="12"/>
      <c r="Q10" s="12"/>
      <c r="R10" s="12"/>
      <c r="S10" s="12"/>
    </row>
    <row r="11" spans="1:19" ht="43.5">
      <c r="A11" s="3">
        <f t="shared" si="0"/>
        <v>10</v>
      </c>
      <c r="B11" s="4" t="s">
        <v>1753</v>
      </c>
      <c r="C11" s="4" t="s">
        <v>1704</v>
      </c>
      <c r="D11" s="4" t="s">
        <v>1705</v>
      </c>
      <c r="E11" s="4" t="s">
        <v>1754</v>
      </c>
      <c r="F11" s="4" t="s">
        <v>1755</v>
      </c>
      <c r="G11" s="4" t="s">
        <v>1756</v>
      </c>
      <c r="H11" s="4" t="s">
        <v>1757</v>
      </c>
      <c r="I11" s="4" t="s">
        <v>1758</v>
      </c>
      <c r="J11" s="7"/>
      <c r="K11" s="7"/>
      <c r="L11" s="7"/>
      <c r="M11" s="81"/>
      <c r="N11" s="12"/>
      <c r="O11" s="12"/>
      <c r="P11" s="12"/>
      <c r="Q11" s="12"/>
      <c r="R11" s="12"/>
      <c r="S11" s="12"/>
    </row>
    <row r="12" spans="1:19" ht="29.25">
      <c r="A12" s="3">
        <f t="shared" si="0"/>
        <v>11</v>
      </c>
      <c r="B12" s="4" t="s">
        <v>1759</v>
      </c>
      <c r="C12" s="4" t="s">
        <v>1704</v>
      </c>
      <c r="D12" s="4" t="s">
        <v>1705</v>
      </c>
      <c r="E12" s="4" t="s">
        <v>1760</v>
      </c>
      <c r="F12" s="4" t="s">
        <v>1761</v>
      </c>
      <c r="G12" s="4" t="s">
        <v>554</v>
      </c>
      <c r="H12" s="4" t="s">
        <v>1762</v>
      </c>
      <c r="I12" s="4" t="s">
        <v>1763</v>
      </c>
      <c r="J12" s="7"/>
      <c r="K12" s="7"/>
      <c r="L12" s="7"/>
      <c r="M12" s="81"/>
      <c r="N12" s="12"/>
      <c r="O12" s="12"/>
      <c r="P12" s="12"/>
      <c r="Q12" s="12"/>
      <c r="R12" s="12"/>
      <c r="S12" s="12"/>
    </row>
    <row r="13" spans="1:19" ht="43.5">
      <c r="A13" s="3">
        <f t="shared" si="0"/>
        <v>12</v>
      </c>
      <c r="B13" s="4" t="s">
        <v>1764</v>
      </c>
      <c r="C13" s="4" t="s">
        <v>1704</v>
      </c>
      <c r="D13" s="4" t="s">
        <v>1705</v>
      </c>
      <c r="E13" s="4" t="s">
        <v>1765</v>
      </c>
      <c r="F13" s="4" t="s">
        <v>1766</v>
      </c>
      <c r="G13" s="4" t="s">
        <v>651</v>
      </c>
      <c r="H13" s="4" t="s">
        <v>1767</v>
      </c>
      <c r="I13" s="4" t="s">
        <v>1768</v>
      </c>
      <c r="J13" s="7"/>
      <c r="K13" s="7"/>
      <c r="L13" s="7"/>
      <c r="M13" s="81"/>
      <c r="N13" s="12"/>
      <c r="O13" s="12"/>
      <c r="P13" s="12"/>
      <c r="Q13" s="12"/>
      <c r="R13" s="12"/>
      <c r="S13" s="12"/>
    </row>
    <row r="14" spans="1:19" ht="29.25">
      <c r="A14" s="3">
        <f t="shared" si="0"/>
        <v>13</v>
      </c>
      <c r="B14" s="4" t="s">
        <v>1769</v>
      </c>
      <c r="C14" s="4" t="s">
        <v>1704</v>
      </c>
      <c r="D14" s="4" t="s">
        <v>1705</v>
      </c>
      <c r="E14" s="4" t="s">
        <v>1770</v>
      </c>
      <c r="F14" s="4" t="s">
        <v>1771</v>
      </c>
      <c r="G14" s="4" t="s">
        <v>1772</v>
      </c>
      <c r="H14" s="4" t="s">
        <v>1773</v>
      </c>
      <c r="I14" s="4" t="s">
        <v>1774</v>
      </c>
      <c r="J14" s="7"/>
      <c r="K14" s="7"/>
      <c r="L14" s="7"/>
      <c r="M14" s="81"/>
      <c r="N14" s="12"/>
      <c r="O14" s="12"/>
      <c r="P14" s="12"/>
      <c r="Q14" s="12"/>
      <c r="R14" s="12"/>
      <c r="S14" s="12"/>
    </row>
    <row r="15" spans="1:19" ht="43.5">
      <c r="A15" s="3">
        <f t="shared" si="0"/>
        <v>14</v>
      </c>
      <c r="B15" s="4" t="s">
        <v>1775</v>
      </c>
      <c r="C15" s="4" t="s">
        <v>1704</v>
      </c>
      <c r="D15" s="4" t="s">
        <v>1705</v>
      </c>
      <c r="E15" s="4" t="s">
        <v>1776</v>
      </c>
      <c r="F15" s="4" t="s">
        <v>1777</v>
      </c>
      <c r="G15" s="4" t="s">
        <v>713</v>
      </c>
      <c r="H15" s="4" t="s">
        <v>1778</v>
      </c>
      <c r="I15" s="4" t="s">
        <v>1779</v>
      </c>
      <c r="J15" s="7"/>
      <c r="K15" s="7"/>
      <c r="L15" s="7"/>
      <c r="M15" s="81"/>
      <c r="N15" s="12"/>
      <c r="O15" s="12"/>
      <c r="P15" s="12"/>
      <c r="Q15" s="12"/>
      <c r="R15" s="12"/>
      <c r="S15" s="12"/>
    </row>
    <row r="16" spans="1:19" ht="43.5">
      <c r="A16" s="3">
        <f t="shared" si="0"/>
        <v>15</v>
      </c>
      <c r="B16" s="4" t="s">
        <v>1780</v>
      </c>
      <c r="C16" s="4" t="s">
        <v>1704</v>
      </c>
      <c r="D16" s="4" t="s">
        <v>1705</v>
      </c>
      <c r="E16" s="4" t="s">
        <v>1781</v>
      </c>
      <c r="F16" s="4" t="s">
        <v>1782</v>
      </c>
      <c r="G16" s="4" t="s">
        <v>183</v>
      </c>
      <c r="H16" s="4" t="s">
        <v>1783</v>
      </c>
      <c r="I16" s="4" t="s">
        <v>1784</v>
      </c>
      <c r="J16" s="7"/>
      <c r="K16" s="7"/>
      <c r="L16" s="7"/>
      <c r="M16" s="81"/>
      <c r="N16" s="12"/>
      <c r="O16" s="12"/>
      <c r="P16" s="12"/>
      <c r="Q16" s="12"/>
      <c r="R16" s="12"/>
      <c r="S16" s="12"/>
    </row>
    <row r="17" spans="1:19" ht="29.25">
      <c r="A17" s="3">
        <f t="shared" si="0"/>
        <v>16</v>
      </c>
      <c r="B17" s="4" t="s">
        <v>1785</v>
      </c>
      <c r="C17" s="4" t="s">
        <v>1704</v>
      </c>
      <c r="D17" s="4" t="s">
        <v>616</v>
      </c>
      <c r="E17" s="4" t="s">
        <v>1786</v>
      </c>
      <c r="F17" s="4" t="s">
        <v>1787</v>
      </c>
      <c r="G17" s="4" t="s">
        <v>1788</v>
      </c>
      <c r="H17" s="4" t="s">
        <v>1789</v>
      </c>
      <c r="I17" s="4" t="s">
        <v>1790</v>
      </c>
      <c r="J17" s="7"/>
      <c r="K17" s="7"/>
      <c r="L17" s="7"/>
      <c r="M17" s="81"/>
      <c r="N17" s="12"/>
      <c r="O17" s="12"/>
      <c r="P17" s="12"/>
      <c r="Q17" s="12"/>
      <c r="R17" s="12"/>
      <c r="S17" s="12"/>
    </row>
    <row r="18" spans="1:19" ht="43.5">
      <c r="A18" s="3">
        <f t="shared" si="0"/>
        <v>17</v>
      </c>
      <c r="B18" s="4" t="s">
        <v>1791</v>
      </c>
      <c r="C18" s="4" t="s">
        <v>1704</v>
      </c>
      <c r="D18" s="4" t="s">
        <v>1705</v>
      </c>
      <c r="E18" s="4" t="s">
        <v>1792</v>
      </c>
      <c r="F18" s="4" t="s">
        <v>1793</v>
      </c>
      <c r="G18" s="4" t="s">
        <v>1794</v>
      </c>
      <c r="H18" s="4" t="s">
        <v>1795</v>
      </c>
      <c r="I18" s="4" t="s">
        <v>1796</v>
      </c>
      <c r="J18" s="7"/>
      <c r="K18" s="7"/>
      <c r="L18" s="7"/>
      <c r="M18" s="81"/>
      <c r="N18" s="12"/>
      <c r="O18" s="12"/>
      <c r="P18" s="12"/>
      <c r="Q18" s="12"/>
      <c r="R18" s="12"/>
      <c r="S18" s="12"/>
    </row>
    <row r="19" spans="1:19" ht="29.25">
      <c r="A19" s="3">
        <f t="shared" si="0"/>
        <v>18</v>
      </c>
      <c r="B19" s="4" t="s">
        <v>1797</v>
      </c>
      <c r="C19" s="4" t="s">
        <v>1704</v>
      </c>
      <c r="D19" s="4" t="s">
        <v>1705</v>
      </c>
      <c r="E19" s="4" t="s">
        <v>1798</v>
      </c>
      <c r="F19" s="4" t="s">
        <v>1799</v>
      </c>
      <c r="G19" s="4" t="s">
        <v>764</v>
      </c>
      <c r="H19" s="4" t="s">
        <v>1800</v>
      </c>
      <c r="I19" s="4" t="s">
        <v>1173</v>
      </c>
      <c r="J19" s="7"/>
      <c r="K19" s="7"/>
      <c r="L19" s="7"/>
      <c r="M19" s="81"/>
      <c r="N19" s="12"/>
      <c r="O19" s="12"/>
      <c r="P19" s="12"/>
      <c r="Q19" s="12"/>
      <c r="R19" s="12"/>
      <c r="S19" s="12"/>
    </row>
    <row r="20" spans="1:19" ht="43.5">
      <c r="A20" s="3">
        <f t="shared" si="0"/>
        <v>19</v>
      </c>
      <c r="B20" s="4" t="s">
        <v>1801</v>
      </c>
      <c r="C20" s="4" t="s">
        <v>1704</v>
      </c>
      <c r="D20" s="4" t="s">
        <v>1705</v>
      </c>
      <c r="E20" s="4" t="s">
        <v>1802</v>
      </c>
      <c r="F20" s="4" t="s">
        <v>1803</v>
      </c>
      <c r="G20" s="4" t="s">
        <v>176</v>
      </c>
      <c r="H20" s="4" t="s">
        <v>1804</v>
      </c>
      <c r="I20" s="4" t="s">
        <v>1805</v>
      </c>
      <c r="J20" s="7"/>
      <c r="K20" s="7"/>
      <c r="L20" s="7"/>
      <c r="M20" s="81"/>
      <c r="N20" s="12"/>
      <c r="O20" s="12"/>
      <c r="P20" s="12"/>
      <c r="Q20" s="12"/>
      <c r="R20" s="12"/>
      <c r="S20" s="12"/>
    </row>
    <row r="21" spans="1:19" ht="29.25">
      <c r="A21" s="3">
        <f t="shared" si="0"/>
        <v>20</v>
      </c>
      <c r="B21" s="4" t="s">
        <v>1806</v>
      </c>
      <c r="C21" s="4" t="s">
        <v>1704</v>
      </c>
      <c r="D21" s="4" t="s">
        <v>1705</v>
      </c>
      <c r="E21" s="4" t="s">
        <v>1807</v>
      </c>
      <c r="F21" s="4" t="s">
        <v>1808</v>
      </c>
      <c r="G21" s="4" t="s">
        <v>847</v>
      </c>
      <c r="H21" s="4" t="s">
        <v>1809</v>
      </c>
      <c r="I21" s="4" t="s">
        <v>1810</v>
      </c>
      <c r="J21" s="7"/>
      <c r="K21" s="7"/>
      <c r="L21" s="7"/>
      <c r="M21" s="81"/>
      <c r="N21" s="12"/>
      <c r="O21" s="12"/>
      <c r="P21" s="12"/>
      <c r="Q21" s="12"/>
      <c r="R21" s="12"/>
      <c r="S21" s="12"/>
    </row>
    <row r="22" spans="1:19" ht="29.25">
      <c r="A22" s="3">
        <f t="shared" si="0"/>
        <v>21</v>
      </c>
      <c r="B22" s="4" t="s">
        <v>1811</v>
      </c>
      <c r="C22" s="4" t="s">
        <v>1704</v>
      </c>
      <c r="D22" s="4" t="s">
        <v>1705</v>
      </c>
      <c r="E22" s="4" t="s">
        <v>1812</v>
      </c>
      <c r="F22" s="4" t="s">
        <v>1813</v>
      </c>
      <c r="G22" s="4" t="s">
        <v>750</v>
      </c>
      <c r="H22" s="4" t="s">
        <v>1814</v>
      </c>
      <c r="I22" s="4" t="s">
        <v>1815</v>
      </c>
      <c r="J22" s="7"/>
      <c r="K22" s="7"/>
      <c r="L22" s="7"/>
      <c r="M22" s="81"/>
      <c r="N22" s="12"/>
      <c r="O22" s="12"/>
      <c r="P22" s="12"/>
      <c r="Q22" s="12"/>
      <c r="R22" s="12"/>
      <c r="S22" s="12"/>
    </row>
    <row r="23" spans="1:19" ht="29.25">
      <c r="A23" s="3">
        <f t="shared" si="0"/>
        <v>22</v>
      </c>
      <c r="B23" s="4" t="s">
        <v>1816</v>
      </c>
      <c r="C23" s="4" t="s">
        <v>1704</v>
      </c>
      <c r="D23" s="4" t="s">
        <v>1705</v>
      </c>
      <c r="E23" s="4" t="s">
        <v>1817</v>
      </c>
      <c r="F23" s="4" t="s">
        <v>1818</v>
      </c>
      <c r="G23" s="4" t="s">
        <v>531</v>
      </c>
      <c r="H23" s="4" t="s">
        <v>1819</v>
      </c>
      <c r="I23" s="4" t="s">
        <v>1820</v>
      </c>
      <c r="J23" s="7"/>
      <c r="K23" s="7"/>
      <c r="L23" s="7"/>
      <c r="M23" s="81"/>
      <c r="N23" s="12"/>
      <c r="O23" s="12"/>
      <c r="P23" s="12"/>
      <c r="Q23" s="12"/>
      <c r="R23" s="12"/>
      <c r="S23" s="12"/>
    </row>
    <row r="24" spans="1:19" ht="29.25">
      <c r="A24" s="3">
        <f t="shared" si="0"/>
        <v>23</v>
      </c>
      <c r="B24" s="4" t="s">
        <v>1821</v>
      </c>
      <c r="C24" s="4" t="s">
        <v>1704</v>
      </c>
      <c r="D24" s="4" t="s">
        <v>1705</v>
      </c>
      <c r="E24" s="4" t="s">
        <v>1822</v>
      </c>
      <c r="F24" s="4" t="s">
        <v>1823</v>
      </c>
      <c r="G24" s="4" t="s">
        <v>756</v>
      </c>
      <c r="H24" s="4" t="s">
        <v>1824</v>
      </c>
      <c r="I24" s="4" t="s">
        <v>1825</v>
      </c>
      <c r="J24" s="7"/>
      <c r="K24" s="7"/>
      <c r="L24" s="7"/>
      <c r="M24" s="81"/>
      <c r="N24" s="12"/>
      <c r="O24" s="12"/>
      <c r="P24" s="12"/>
      <c r="Q24" s="12"/>
      <c r="R24" s="12"/>
      <c r="S24" s="12"/>
    </row>
    <row r="25" spans="1:19" ht="29.25">
      <c r="A25" s="3">
        <f t="shared" si="0"/>
        <v>24</v>
      </c>
      <c r="B25" s="4" t="s">
        <v>1826</v>
      </c>
      <c r="C25" s="4" t="s">
        <v>1704</v>
      </c>
      <c r="D25" s="4" t="s">
        <v>1705</v>
      </c>
      <c r="E25" s="4" t="s">
        <v>1827</v>
      </c>
      <c r="F25" s="4" t="s">
        <v>1828</v>
      </c>
      <c r="G25" s="4" t="s">
        <v>1829</v>
      </c>
      <c r="H25" s="4" t="s">
        <v>1830</v>
      </c>
      <c r="I25" s="4" t="s">
        <v>1831</v>
      </c>
      <c r="J25" s="7"/>
      <c r="K25" s="7"/>
      <c r="L25" s="7"/>
      <c r="M25" s="81"/>
      <c r="N25" s="12"/>
      <c r="O25" s="12"/>
      <c r="P25" s="12"/>
      <c r="Q25" s="12"/>
      <c r="R25" s="12"/>
      <c r="S25" s="12"/>
    </row>
    <row r="26" spans="1:19" ht="29.25">
      <c r="A26" s="3">
        <f t="shared" si="0"/>
        <v>25</v>
      </c>
      <c r="B26" s="4" t="s">
        <v>1832</v>
      </c>
      <c r="C26" s="4" t="s">
        <v>1704</v>
      </c>
      <c r="D26" s="4" t="s">
        <v>616</v>
      </c>
      <c r="E26" s="4" t="s">
        <v>1833</v>
      </c>
      <c r="F26" s="4" t="s">
        <v>1834</v>
      </c>
      <c r="G26" s="4" t="s">
        <v>1730</v>
      </c>
      <c r="H26" s="4" t="s">
        <v>1835</v>
      </c>
      <c r="I26" s="4" t="s">
        <v>1836</v>
      </c>
      <c r="J26" s="7"/>
      <c r="K26" s="7"/>
      <c r="L26" s="7"/>
      <c r="M26" s="81"/>
      <c r="N26" s="12"/>
      <c r="O26" s="12"/>
      <c r="P26" s="12"/>
      <c r="Q26" s="12"/>
      <c r="R26" s="12"/>
      <c r="S26" s="12"/>
    </row>
    <row r="27" spans="1:19" ht="29.25">
      <c r="A27" s="3">
        <f t="shared" si="0"/>
        <v>26</v>
      </c>
      <c r="B27" s="4" t="s">
        <v>1837</v>
      </c>
      <c r="C27" s="4" t="s">
        <v>1704</v>
      </c>
      <c r="D27" s="4" t="s">
        <v>616</v>
      </c>
      <c r="E27" s="4" t="s">
        <v>1838</v>
      </c>
      <c r="F27" s="4" t="s">
        <v>1839</v>
      </c>
      <c r="G27" s="4" t="s">
        <v>1840</v>
      </c>
      <c r="H27" s="4" t="s">
        <v>1841</v>
      </c>
      <c r="I27" s="4" t="s">
        <v>1842</v>
      </c>
      <c r="J27" s="7"/>
      <c r="K27" s="7"/>
      <c r="L27" s="7"/>
      <c r="M27" s="81"/>
      <c r="N27" s="12"/>
      <c r="O27" s="12"/>
      <c r="P27" s="12"/>
      <c r="Q27" s="12"/>
      <c r="R27" s="12"/>
      <c r="S27" s="12"/>
    </row>
    <row r="28" spans="1:19" ht="43.5">
      <c r="A28" s="3">
        <f t="shared" si="0"/>
        <v>27</v>
      </c>
      <c r="B28" s="4" t="s">
        <v>1843</v>
      </c>
      <c r="C28" s="4" t="s">
        <v>1704</v>
      </c>
      <c r="D28" s="4" t="s">
        <v>1705</v>
      </c>
      <c r="E28" s="4" t="s">
        <v>1844</v>
      </c>
      <c r="F28" s="4" t="s">
        <v>1845</v>
      </c>
      <c r="G28" s="4" t="s">
        <v>1846</v>
      </c>
      <c r="H28" s="4" t="s">
        <v>1847</v>
      </c>
      <c r="I28" s="4" t="s">
        <v>1848</v>
      </c>
      <c r="J28" s="7"/>
      <c r="K28" s="7"/>
      <c r="L28" s="7"/>
      <c r="M28" s="81"/>
      <c r="N28" s="12"/>
      <c r="O28" s="12"/>
      <c r="P28" s="12"/>
      <c r="Q28" s="12"/>
      <c r="R28" s="12"/>
      <c r="S28" s="12"/>
    </row>
    <row r="29" spans="1:19" ht="43.5">
      <c r="A29" s="3">
        <f t="shared" si="0"/>
        <v>28</v>
      </c>
      <c r="B29" s="4" t="s">
        <v>1849</v>
      </c>
      <c r="C29" s="4" t="s">
        <v>1704</v>
      </c>
      <c r="D29" s="4" t="s">
        <v>1705</v>
      </c>
      <c r="E29" s="4" t="s">
        <v>1850</v>
      </c>
      <c r="F29" s="4" t="s">
        <v>1851</v>
      </c>
      <c r="G29" s="4" t="s">
        <v>531</v>
      </c>
      <c r="H29" s="4" t="s">
        <v>1852</v>
      </c>
      <c r="I29" s="4" t="s">
        <v>1853</v>
      </c>
      <c r="J29" s="7"/>
      <c r="K29" s="7"/>
      <c r="L29" s="7"/>
      <c r="M29" s="81"/>
      <c r="N29" s="12"/>
      <c r="O29" s="12"/>
      <c r="P29" s="12"/>
      <c r="Q29" s="12"/>
      <c r="R29" s="12"/>
      <c r="S29" s="12"/>
    </row>
    <row r="30" spans="1:19" ht="43.5">
      <c r="A30" s="20">
        <f t="shared" si="0"/>
        <v>29</v>
      </c>
      <c r="B30" s="16" t="s">
        <v>1854</v>
      </c>
      <c r="C30" s="16" t="s">
        <v>1704</v>
      </c>
      <c r="D30" s="16" t="s">
        <v>616</v>
      </c>
      <c r="E30" s="16" t="s">
        <v>1855</v>
      </c>
      <c r="F30" s="16" t="s">
        <v>1856</v>
      </c>
      <c r="G30" s="16" t="s">
        <v>1857</v>
      </c>
      <c r="H30" s="16" t="s">
        <v>1858</v>
      </c>
      <c r="I30" s="16" t="s">
        <v>1859</v>
      </c>
      <c r="J30" s="17"/>
      <c r="K30" s="17"/>
      <c r="L30" s="17"/>
      <c r="M30" s="22"/>
      <c r="N30" s="54"/>
      <c r="O30" s="54"/>
      <c r="P30" s="54"/>
      <c r="Q30" s="54"/>
      <c r="R30" s="54"/>
      <c r="S30" s="54"/>
    </row>
    <row r="31" spans="1:19" ht="57.75">
      <c r="A31" s="84">
        <f t="shared" si="0"/>
        <v>30</v>
      </c>
      <c r="B31" s="83" t="s">
        <v>1860</v>
      </c>
      <c r="C31" s="83" t="s">
        <v>1704</v>
      </c>
      <c r="D31" s="83" t="s">
        <v>616</v>
      </c>
      <c r="E31" s="83" t="s">
        <v>1861</v>
      </c>
      <c r="F31" s="83" t="s">
        <v>1862</v>
      </c>
      <c r="G31" s="83" t="s">
        <v>1863</v>
      </c>
      <c r="H31" s="83" t="s">
        <v>1864</v>
      </c>
      <c r="I31" s="83" t="s">
        <v>1865</v>
      </c>
      <c r="J31" s="54"/>
      <c r="K31" s="54"/>
      <c r="L31" s="54"/>
      <c r="M31" s="83"/>
      <c r="N31" s="54"/>
      <c r="O31" s="54"/>
      <c r="P31" s="54"/>
      <c r="Q31" s="54"/>
      <c r="R31" s="54"/>
      <c r="S31" s="54"/>
    </row>
    <row r="32" spans="1:19" ht="87">
      <c r="A32" s="35">
        <f t="shared" si="0"/>
        <v>31</v>
      </c>
      <c r="B32" s="21" t="s">
        <v>1866</v>
      </c>
      <c r="C32" s="18" t="s">
        <v>1704</v>
      </c>
      <c r="D32" s="18" t="s">
        <v>616</v>
      </c>
      <c r="E32" s="18" t="s">
        <v>328</v>
      </c>
      <c r="F32" s="18" t="s">
        <v>1867</v>
      </c>
      <c r="G32" s="18" t="s">
        <v>1868</v>
      </c>
      <c r="H32" s="18" t="s">
        <v>1869</v>
      </c>
      <c r="I32" s="18" t="s">
        <v>1870</v>
      </c>
      <c r="J32" s="18"/>
      <c r="K32" s="18"/>
      <c r="L32" s="18"/>
      <c r="M32" s="18"/>
      <c r="N32" s="18"/>
      <c r="O32" s="18"/>
      <c r="P32" s="18"/>
      <c r="Q32" s="18"/>
      <c r="R32" s="18"/>
      <c r="S32" s="18"/>
    </row>
    <row r="33" spans="1:19" ht="87">
      <c r="A33" s="35">
        <f t="shared" si="0"/>
        <v>32</v>
      </c>
      <c r="B33" s="21" t="s">
        <v>1871</v>
      </c>
      <c r="C33" s="18" t="s">
        <v>1704</v>
      </c>
      <c r="D33" s="18" t="s">
        <v>616</v>
      </c>
      <c r="E33" s="18" t="s">
        <v>1872</v>
      </c>
      <c r="F33" s="18" t="s">
        <v>1873</v>
      </c>
      <c r="G33" s="18" t="s">
        <v>1874</v>
      </c>
      <c r="H33" s="18" t="s">
        <v>1875</v>
      </c>
      <c r="I33" s="18" t="s">
        <v>1876</v>
      </c>
      <c r="J33" s="85"/>
      <c r="K33" s="18"/>
      <c r="L33" s="18"/>
      <c r="M33" s="18"/>
      <c r="N33" s="18"/>
      <c r="O33" s="18"/>
      <c r="P33" s="18"/>
      <c r="Q33" s="18"/>
      <c r="R33" s="18"/>
      <c r="S33" s="18"/>
    </row>
    <row r="34" spans="1:19" ht="72.75">
      <c r="A34" s="35">
        <f t="shared" si="0"/>
        <v>33</v>
      </c>
      <c r="B34" s="21" t="s">
        <v>1877</v>
      </c>
      <c r="C34" s="18" t="s">
        <v>1704</v>
      </c>
      <c r="D34" s="18" t="s">
        <v>616</v>
      </c>
      <c r="E34" s="18" t="s">
        <v>1878</v>
      </c>
      <c r="F34" s="18" t="s">
        <v>1879</v>
      </c>
      <c r="G34" s="18" t="s">
        <v>1880</v>
      </c>
      <c r="H34" s="18" t="s">
        <v>1881</v>
      </c>
      <c r="I34" s="18" t="s">
        <v>1882</v>
      </c>
      <c r="J34" s="18"/>
      <c r="K34" s="18"/>
      <c r="L34" s="18"/>
      <c r="M34" s="18"/>
      <c r="N34" s="18"/>
      <c r="O34" s="18"/>
      <c r="P34" s="18"/>
      <c r="Q34" s="18"/>
      <c r="R34" s="18"/>
      <c r="S34" s="18"/>
    </row>
    <row r="35" spans="1:19" ht="72.75">
      <c r="A35" s="35">
        <f t="shared" si="0"/>
        <v>34</v>
      </c>
      <c r="B35" s="21" t="s">
        <v>1883</v>
      </c>
      <c r="C35" s="18" t="s">
        <v>1704</v>
      </c>
      <c r="D35" s="18" t="s">
        <v>616</v>
      </c>
      <c r="E35" s="18" t="s">
        <v>1884</v>
      </c>
      <c r="F35" s="18" t="s">
        <v>1885</v>
      </c>
      <c r="G35" s="18" t="s">
        <v>1886</v>
      </c>
      <c r="H35" s="18" t="s">
        <v>1887</v>
      </c>
      <c r="I35" s="18" t="s">
        <v>1888</v>
      </c>
      <c r="J35" s="18"/>
      <c r="K35" s="18"/>
      <c r="L35" s="18"/>
      <c r="M35" s="18"/>
      <c r="N35" s="18"/>
      <c r="O35" s="18"/>
      <c r="P35" s="18"/>
      <c r="Q35" s="18"/>
      <c r="R35" s="18"/>
      <c r="S35" s="18"/>
    </row>
    <row r="36" spans="1:19" ht="57.75">
      <c r="A36" s="35">
        <f t="shared" si="0"/>
        <v>35</v>
      </c>
      <c r="B36" s="21" t="s">
        <v>1889</v>
      </c>
      <c r="C36" s="18" t="s">
        <v>1704</v>
      </c>
      <c r="D36" s="18" t="s">
        <v>616</v>
      </c>
      <c r="E36" s="18" t="s">
        <v>1890</v>
      </c>
      <c r="F36" s="18" t="s">
        <v>1891</v>
      </c>
      <c r="G36" s="18" t="s">
        <v>1892</v>
      </c>
      <c r="H36" s="18" t="s">
        <v>1893</v>
      </c>
      <c r="I36" s="18" t="s">
        <v>1894</v>
      </c>
      <c r="J36" s="18"/>
      <c r="K36" s="18"/>
      <c r="L36" s="18"/>
      <c r="M36" s="18"/>
      <c r="N36" s="18"/>
      <c r="O36" s="18"/>
      <c r="P36" s="18"/>
      <c r="Q36" s="18"/>
      <c r="R36" s="18"/>
      <c r="S36" s="18"/>
    </row>
    <row r="37" spans="1:19" ht="72.75">
      <c r="A37" s="35">
        <f t="shared" si="0"/>
        <v>36</v>
      </c>
      <c r="B37" s="21" t="s">
        <v>1895</v>
      </c>
      <c r="C37" s="18" t="s">
        <v>1704</v>
      </c>
      <c r="D37" s="18" t="s">
        <v>616</v>
      </c>
      <c r="E37" s="18" t="s">
        <v>1896</v>
      </c>
      <c r="F37" s="18" t="s">
        <v>1897</v>
      </c>
      <c r="G37" s="18" t="s">
        <v>1898</v>
      </c>
      <c r="H37" s="18" t="s">
        <v>1899</v>
      </c>
      <c r="I37" s="18" t="s">
        <v>1900</v>
      </c>
      <c r="J37" s="18"/>
      <c r="K37" s="18"/>
      <c r="L37" s="18"/>
      <c r="M37" s="18"/>
      <c r="N37" s="18"/>
      <c r="O37" s="18"/>
      <c r="P37" s="18"/>
      <c r="Q37" s="18"/>
      <c r="R37" s="18"/>
      <c r="S37" s="18"/>
    </row>
    <row r="38" spans="1:19" ht="72.75">
      <c r="A38" s="35">
        <f t="shared" si="0"/>
        <v>37</v>
      </c>
      <c r="B38" s="21" t="s">
        <v>1901</v>
      </c>
      <c r="C38" s="18" t="s">
        <v>1704</v>
      </c>
      <c r="D38" s="18" t="s">
        <v>616</v>
      </c>
      <c r="E38" s="18" t="s">
        <v>1902</v>
      </c>
      <c r="F38" s="18" t="s">
        <v>1903</v>
      </c>
      <c r="G38" s="18" t="s">
        <v>1904</v>
      </c>
      <c r="H38" s="18" t="s">
        <v>1905</v>
      </c>
      <c r="I38" s="18" t="s">
        <v>1906</v>
      </c>
      <c r="J38" s="18"/>
      <c r="K38" s="18"/>
      <c r="L38" s="18"/>
      <c r="M38" s="18"/>
      <c r="N38" s="18"/>
      <c r="O38" s="18"/>
      <c r="P38" s="18"/>
      <c r="Q38" s="18"/>
      <c r="R38" s="18"/>
      <c r="S38" s="18"/>
    </row>
    <row r="39" spans="1:19" ht="57.75">
      <c r="A39" s="35">
        <f t="shared" si="0"/>
        <v>38</v>
      </c>
      <c r="B39" s="21" t="s">
        <v>1907</v>
      </c>
      <c r="C39" s="18" t="s">
        <v>1704</v>
      </c>
      <c r="D39" s="18" t="s">
        <v>616</v>
      </c>
      <c r="E39" s="18" t="s">
        <v>1908</v>
      </c>
      <c r="F39" s="18" t="s">
        <v>1909</v>
      </c>
      <c r="G39" s="18" t="s">
        <v>1910</v>
      </c>
      <c r="H39" s="18" t="s">
        <v>1911</v>
      </c>
      <c r="I39" s="18" t="s">
        <v>1912</v>
      </c>
      <c r="J39" s="18"/>
      <c r="K39" s="18"/>
      <c r="L39" s="18"/>
      <c r="M39" s="18"/>
      <c r="N39" s="18"/>
      <c r="O39" s="18"/>
      <c r="P39" s="18"/>
      <c r="Q39" s="18"/>
      <c r="R39" s="18"/>
      <c r="S39" s="18"/>
    </row>
    <row r="40" spans="1:19" ht="57.75">
      <c r="A40" s="35">
        <f t="shared" si="0"/>
        <v>39</v>
      </c>
      <c r="B40" s="21" t="s">
        <v>1913</v>
      </c>
      <c r="C40" s="18" t="s">
        <v>1704</v>
      </c>
      <c r="D40" s="18" t="s">
        <v>616</v>
      </c>
      <c r="E40" s="18" t="s">
        <v>1914</v>
      </c>
      <c r="F40" s="18" t="s">
        <v>1915</v>
      </c>
      <c r="G40" s="18" t="s">
        <v>1916</v>
      </c>
      <c r="H40" s="18" t="s">
        <v>1917</v>
      </c>
      <c r="I40" s="18" t="s">
        <v>1918</v>
      </c>
      <c r="J40" s="18"/>
      <c r="K40" s="18"/>
      <c r="L40" s="18"/>
      <c r="M40" s="18"/>
      <c r="N40" s="18"/>
      <c r="O40" s="18"/>
      <c r="P40" s="18"/>
      <c r="Q40" s="18"/>
      <c r="R40" s="18"/>
      <c r="S40" s="18"/>
    </row>
    <row r="41" spans="1:19" ht="57.75">
      <c r="A41" s="35">
        <f t="shared" si="0"/>
        <v>40</v>
      </c>
      <c r="B41" s="21" t="s">
        <v>1919</v>
      </c>
      <c r="C41" s="18" t="s">
        <v>1704</v>
      </c>
      <c r="D41" s="18" t="s">
        <v>616</v>
      </c>
      <c r="E41" s="18" t="s">
        <v>1920</v>
      </c>
      <c r="F41" s="18" t="s">
        <v>1921</v>
      </c>
      <c r="G41" s="18" t="s">
        <v>1922</v>
      </c>
      <c r="H41" s="18" t="s">
        <v>1923</v>
      </c>
      <c r="I41" s="18" t="s">
        <v>1924</v>
      </c>
      <c r="J41" s="18"/>
      <c r="K41" s="18"/>
      <c r="L41" s="18"/>
      <c r="M41" s="18"/>
      <c r="N41" s="18"/>
      <c r="O41" s="18"/>
      <c r="P41" s="18"/>
      <c r="Q41" s="18"/>
      <c r="R41" s="18"/>
      <c r="S41" s="18"/>
    </row>
    <row r="42" spans="1:19" ht="72.75">
      <c r="A42" s="84">
        <f t="shared" si="0"/>
        <v>41</v>
      </c>
      <c r="B42" s="83" t="s">
        <v>1925</v>
      </c>
      <c r="C42" s="27" t="s">
        <v>1704</v>
      </c>
      <c r="D42" s="27" t="s">
        <v>616</v>
      </c>
      <c r="E42" s="27" t="s">
        <v>1926</v>
      </c>
      <c r="F42" s="27" t="s">
        <v>1927</v>
      </c>
      <c r="G42" s="27" t="s">
        <v>1928</v>
      </c>
      <c r="H42" s="27" t="s">
        <v>1929</v>
      </c>
      <c r="I42" s="27" t="s">
        <v>1930</v>
      </c>
      <c r="J42" s="27"/>
      <c r="K42" s="27"/>
      <c r="L42" s="27"/>
      <c r="M42" s="27"/>
      <c r="N42" s="27"/>
      <c r="O42" s="27"/>
      <c r="P42" s="27"/>
      <c r="Q42" s="27"/>
      <c r="R42" s="27"/>
      <c r="S42" s="27"/>
    </row>
    <row r="43" spans="1:19" ht="115.5">
      <c r="A43" s="18">
        <f t="shared" si="0"/>
        <v>42</v>
      </c>
      <c r="B43" s="18" t="s">
        <v>1931</v>
      </c>
      <c r="C43" s="18" t="s">
        <v>1704</v>
      </c>
      <c r="D43" s="18" t="s">
        <v>616</v>
      </c>
      <c r="E43" s="85" t="s">
        <v>1932</v>
      </c>
      <c r="F43" s="18" t="s">
        <v>1933</v>
      </c>
      <c r="G43" s="18" t="s">
        <v>1934</v>
      </c>
      <c r="H43" s="18" t="s">
        <v>1935</v>
      </c>
      <c r="I43" s="18" t="s">
        <v>1936</v>
      </c>
      <c r="J43" s="18"/>
      <c r="K43" s="94"/>
      <c r="L43" s="94"/>
      <c r="M43" s="94"/>
      <c r="N43" s="94"/>
      <c r="O43" s="94"/>
      <c r="P43" s="94"/>
      <c r="Q43" s="94"/>
      <c r="R43" s="94"/>
      <c r="S43" s="9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E106-86F7-471F-8A77-C6325E4B7767}">
  <dimension ref="A1:R31"/>
  <sheetViews>
    <sheetView workbookViewId="0">
      <selection activeCell="M2" sqref="M2"/>
    </sheetView>
  </sheetViews>
  <sheetFormatPr defaultRowHeight="14.45"/>
  <cols>
    <col min="2" max="2" width="12" customWidth="1"/>
    <col min="3" max="3" width="13" customWidth="1"/>
    <col min="4" max="4" width="19.5703125" customWidth="1"/>
    <col min="5" max="5" width="20.85546875" customWidth="1"/>
    <col min="6" max="6" width="18.7109375" customWidth="1"/>
    <col min="7" max="7" width="38.85546875" customWidth="1"/>
    <col min="8" max="8" width="31.85546875" customWidth="1"/>
    <col min="9" max="9" width="11.140625" customWidth="1"/>
    <col min="11" max="11" width="23.5703125" customWidth="1"/>
    <col min="12" max="12" width="19.140625" customWidth="1"/>
    <col min="13" max="13" width="20.28515625" customWidth="1"/>
    <col min="14" max="14" width="19.7109375" customWidth="1"/>
    <col min="15" max="15" width="21.5703125" customWidth="1"/>
    <col min="16" max="16" width="21.7109375" customWidth="1"/>
    <col min="17" max="17" width="21.28515625" customWidth="1"/>
    <col min="18" max="18" width="22.7109375" customWidth="1"/>
  </cols>
  <sheetData>
    <row r="1" spans="1:18" ht="46.5" customHeight="1">
      <c r="A1" s="1" t="s">
        <v>48</v>
      </c>
      <c r="B1" s="2" t="s">
        <v>49</v>
      </c>
      <c r="C1" s="2" t="s">
        <v>50</v>
      </c>
      <c r="D1" s="2" t="s">
        <v>16</v>
      </c>
      <c r="E1" s="2" t="s">
        <v>52</v>
      </c>
      <c r="F1" s="2" t="s">
        <v>53</v>
      </c>
      <c r="G1" s="2" t="s">
        <v>54</v>
      </c>
      <c r="H1" s="2" t="s">
        <v>55</v>
      </c>
      <c r="I1" s="2" t="s">
        <v>56</v>
      </c>
      <c r="J1" s="2" t="s">
        <v>57</v>
      </c>
      <c r="K1" s="2" t="s">
        <v>58</v>
      </c>
      <c r="L1" s="2" t="s">
        <v>59</v>
      </c>
      <c r="M1" s="82" t="s">
        <v>60</v>
      </c>
      <c r="N1" s="82" t="s">
        <v>61</v>
      </c>
      <c r="O1" s="82" t="s">
        <v>62</v>
      </c>
      <c r="P1" s="82" t="s">
        <v>63</v>
      </c>
      <c r="Q1" s="82" t="s">
        <v>64</v>
      </c>
      <c r="R1" s="82" t="s">
        <v>46</v>
      </c>
    </row>
    <row r="2" spans="1:18" ht="43.5">
      <c r="A2" s="3">
        <v>1</v>
      </c>
      <c r="B2" s="4" t="s">
        <v>1937</v>
      </c>
      <c r="C2" s="4" t="s">
        <v>1938</v>
      </c>
      <c r="D2" s="4" t="s">
        <v>1939</v>
      </c>
      <c r="E2" s="4" t="s">
        <v>1940</v>
      </c>
      <c r="F2" s="4" t="s">
        <v>677</v>
      </c>
      <c r="G2" s="4" t="s">
        <v>1941</v>
      </c>
      <c r="H2" s="4" t="s">
        <v>1942</v>
      </c>
      <c r="I2" s="7"/>
      <c r="J2" s="7"/>
      <c r="K2" s="7"/>
      <c r="L2" s="81"/>
      <c r="M2" s="12"/>
      <c r="N2" s="12"/>
      <c r="O2" s="12"/>
      <c r="P2" s="12"/>
      <c r="Q2" s="12"/>
      <c r="R2" s="12"/>
    </row>
    <row r="3" spans="1:18" ht="43.5">
      <c r="A3" s="3">
        <f>1+A2</f>
        <v>2</v>
      </c>
      <c r="B3" s="4" t="s">
        <v>1943</v>
      </c>
      <c r="C3" s="4" t="s">
        <v>1938</v>
      </c>
      <c r="D3" s="4" t="s">
        <v>1944</v>
      </c>
      <c r="E3" s="4" t="s">
        <v>1945</v>
      </c>
      <c r="F3" s="4" t="s">
        <v>1730</v>
      </c>
      <c r="G3" s="4" t="s">
        <v>1946</v>
      </c>
      <c r="H3" s="4" t="s">
        <v>1947</v>
      </c>
      <c r="I3" s="7"/>
      <c r="J3" s="7"/>
      <c r="K3" s="7"/>
      <c r="L3" s="81"/>
      <c r="M3" s="12"/>
      <c r="N3" s="12"/>
      <c r="O3" s="12"/>
      <c r="P3" s="12"/>
      <c r="Q3" s="12"/>
      <c r="R3" s="12"/>
    </row>
    <row r="4" spans="1:18" ht="43.5">
      <c r="A4" s="3">
        <f t="shared" ref="A4:A31" si="0">1+A3</f>
        <v>3</v>
      </c>
      <c r="B4" s="4" t="s">
        <v>1948</v>
      </c>
      <c r="C4" s="4" t="s">
        <v>1938</v>
      </c>
      <c r="D4" s="4" t="s">
        <v>1949</v>
      </c>
      <c r="E4" s="4" t="s">
        <v>1950</v>
      </c>
      <c r="F4" s="4" t="s">
        <v>1951</v>
      </c>
      <c r="G4" s="4" t="s">
        <v>1952</v>
      </c>
      <c r="H4" s="4" t="s">
        <v>1953</v>
      </c>
      <c r="I4" s="7"/>
      <c r="J4" s="7"/>
      <c r="K4" s="7"/>
      <c r="L4" s="81"/>
      <c r="M4" s="12"/>
      <c r="N4" s="12"/>
      <c r="O4" s="12"/>
      <c r="P4" s="12"/>
      <c r="Q4" s="12"/>
      <c r="R4" s="12"/>
    </row>
    <row r="5" spans="1:18" ht="29.25">
      <c r="A5" s="3">
        <f t="shared" si="0"/>
        <v>4</v>
      </c>
      <c r="B5" s="4" t="s">
        <v>1954</v>
      </c>
      <c r="C5" s="4" t="s">
        <v>1938</v>
      </c>
      <c r="D5" s="4" t="s">
        <v>1955</v>
      </c>
      <c r="E5" s="4" t="s">
        <v>1956</v>
      </c>
      <c r="F5" s="4" t="s">
        <v>1957</v>
      </c>
      <c r="G5" s="4" t="s">
        <v>1958</v>
      </c>
      <c r="H5" s="4" t="s">
        <v>1959</v>
      </c>
      <c r="I5" s="7"/>
      <c r="J5" s="7"/>
      <c r="K5" s="7"/>
      <c r="L5" s="81"/>
      <c r="M5" s="12"/>
      <c r="N5" s="12"/>
      <c r="O5" s="12"/>
      <c r="P5" s="12"/>
      <c r="Q5" s="12"/>
      <c r="R5" s="12"/>
    </row>
    <row r="6" spans="1:18" ht="29.25">
      <c r="A6" s="3">
        <f t="shared" si="0"/>
        <v>5</v>
      </c>
      <c r="B6" s="4" t="s">
        <v>1960</v>
      </c>
      <c r="C6" s="4" t="s">
        <v>1938</v>
      </c>
      <c r="D6" s="4" t="s">
        <v>1961</v>
      </c>
      <c r="E6" s="4" t="s">
        <v>1962</v>
      </c>
      <c r="F6" s="4" t="s">
        <v>1085</v>
      </c>
      <c r="G6" s="4" t="s">
        <v>1963</v>
      </c>
      <c r="H6" s="4" t="s">
        <v>1964</v>
      </c>
      <c r="I6" s="7"/>
      <c r="J6" s="7"/>
      <c r="K6" s="7"/>
      <c r="L6" s="81"/>
      <c r="M6" s="12"/>
      <c r="N6" s="12"/>
      <c r="O6" s="12"/>
      <c r="P6" s="12"/>
      <c r="Q6" s="12"/>
      <c r="R6" s="12"/>
    </row>
    <row r="7" spans="1:18" ht="43.5">
      <c r="A7" s="3">
        <f t="shared" si="0"/>
        <v>6</v>
      </c>
      <c r="B7" s="4" t="s">
        <v>1965</v>
      </c>
      <c r="C7" s="4" t="s">
        <v>1938</v>
      </c>
      <c r="D7" s="4" t="s">
        <v>1966</v>
      </c>
      <c r="E7" s="4" t="s">
        <v>1090</v>
      </c>
      <c r="F7" s="4" t="s">
        <v>531</v>
      </c>
      <c r="G7" s="4" t="s">
        <v>1967</v>
      </c>
      <c r="H7" s="4" t="s">
        <v>1968</v>
      </c>
      <c r="I7" s="7"/>
      <c r="J7" s="7"/>
      <c r="K7" s="7"/>
      <c r="L7" s="81"/>
      <c r="M7" s="12"/>
      <c r="N7" s="12"/>
      <c r="O7" s="12"/>
      <c r="P7" s="12"/>
      <c r="Q7" s="12"/>
      <c r="R7" s="12"/>
    </row>
    <row r="8" spans="1:18" ht="29.25">
      <c r="A8" s="3">
        <f t="shared" si="0"/>
        <v>7</v>
      </c>
      <c r="B8" s="4" t="s">
        <v>1969</v>
      </c>
      <c r="C8" s="4" t="s">
        <v>1938</v>
      </c>
      <c r="D8" s="4" t="s">
        <v>1970</v>
      </c>
      <c r="E8" s="4" t="s">
        <v>1971</v>
      </c>
      <c r="F8" s="4" t="s">
        <v>1972</v>
      </c>
      <c r="G8" s="4" t="s">
        <v>1973</v>
      </c>
      <c r="H8" s="4" t="s">
        <v>1974</v>
      </c>
      <c r="I8" s="7"/>
      <c r="J8" s="7"/>
      <c r="K8" s="7"/>
      <c r="L8" s="81"/>
      <c r="M8" s="12"/>
      <c r="N8" s="12"/>
      <c r="O8" s="12"/>
      <c r="P8" s="12"/>
      <c r="Q8" s="12"/>
      <c r="R8" s="12"/>
    </row>
    <row r="9" spans="1:18" ht="43.5">
      <c r="A9" s="3">
        <f t="shared" si="0"/>
        <v>8</v>
      </c>
      <c r="B9" s="4" t="s">
        <v>1975</v>
      </c>
      <c r="C9" s="4" t="s">
        <v>1938</v>
      </c>
      <c r="D9" s="4" t="s">
        <v>1976</v>
      </c>
      <c r="E9" s="4" t="s">
        <v>1977</v>
      </c>
      <c r="F9" s="4" t="s">
        <v>89</v>
      </c>
      <c r="G9" s="4" t="s">
        <v>1978</v>
      </c>
      <c r="H9" s="4" t="s">
        <v>1979</v>
      </c>
      <c r="I9" s="7"/>
      <c r="J9" s="7"/>
      <c r="K9" s="7"/>
      <c r="L9" s="81"/>
      <c r="M9" s="12"/>
      <c r="N9" s="12"/>
      <c r="O9" s="12"/>
      <c r="P9" s="12"/>
      <c r="Q9" s="12"/>
      <c r="R9" s="12"/>
    </row>
    <row r="10" spans="1:18" ht="43.5">
      <c r="A10" s="3">
        <f t="shared" si="0"/>
        <v>9</v>
      </c>
      <c r="B10" s="4" t="s">
        <v>1980</v>
      </c>
      <c r="C10" s="4" t="s">
        <v>1938</v>
      </c>
      <c r="D10" s="4" t="s">
        <v>1981</v>
      </c>
      <c r="E10" s="4" t="s">
        <v>1982</v>
      </c>
      <c r="F10" s="4" t="s">
        <v>1120</v>
      </c>
      <c r="G10" s="4" t="s">
        <v>1983</v>
      </c>
      <c r="H10" s="4" t="s">
        <v>1984</v>
      </c>
      <c r="I10" s="7"/>
      <c r="J10" s="7"/>
      <c r="K10" s="7"/>
      <c r="L10" s="81"/>
      <c r="M10" s="12"/>
      <c r="N10" s="12"/>
      <c r="O10" s="12"/>
      <c r="P10" s="12"/>
      <c r="Q10" s="12"/>
      <c r="R10" s="12"/>
    </row>
    <row r="11" spans="1:18" ht="43.5">
      <c r="A11" s="3">
        <f t="shared" si="0"/>
        <v>10</v>
      </c>
      <c r="B11" s="4" t="s">
        <v>1985</v>
      </c>
      <c r="C11" s="4" t="s">
        <v>1938</v>
      </c>
      <c r="D11" s="4" t="s">
        <v>1986</v>
      </c>
      <c r="E11" s="4" t="s">
        <v>1987</v>
      </c>
      <c r="F11" s="4" t="s">
        <v>110</v>
      </c>
      <c r="G11" s="4" t="s">
        <v>1988</v>
      </c>
      <c r="H11" s="4" t="s">
        <v>1989</v>
      </c>
      <c r="I11" s="7"/>
      <c r="J11" s="7"/>
      <c r="K11" s="7"/>
      <c r="L11" s="81"/>
      <c r="M11" s="12"/>
      <c r="N11" s="12"/>
      <c r="O11" s="12"/>
      <c r="P11" s="12"/>
      <c r="Q11" s="12"/>
      <c r="R11" s="12"/>
    </row>
    <row r="12" spans="1:18" ht="29.25">
      <c r="A12" s="3">
        <f t="shared" si="0"/>
        <v>11</v>
      </c>
      <c r="B12" s="4" t="s">
        <v>1990</v>
      </c>
      <c r="C12" s="4" t="s">
        <v>1938</v>
      </c>
      <c r="D12" s="4" t="s">
        <v>1991</v>
      </c>
      <c r="E12" s="4" t="s">
        <v>1992</v>
      </c>
      <c r="F12" s="4" t="s">
        <v>183</v>
      </c>
      <c r="G12" s="4" t="s">
        <v>1993</v>
      </c>
      <c r="H12" s="4" t="s">
        <v>1994</v>
      </c>
      <c r="I12" s="7"/>
      <c r="J12" s="7"/>
      <c r="K12" s="7"/>
      <c r="L12" s="81"/>
      <c r="M12" s="12"/>
      <c r="N12" s="12"/>
      <c r="O12" s="12"/>
      <c r="P12" s="12"/>
      <c r="Q12" s="12"/>
      <c r="R12" s="12"/>
    </row>
    <row r="13" spans="1:18" ht="43.5">
      <c r="A13" s="3">
        <f t="shared" si="0"/>
        <v>12</v>
      </c>
      <c r="B13" s="4" t="s">
        <v>1995</v>
      </c>
      <c r="C13" s="4" t="s">
        <v>1938</v>
      </c>
      <c r="D13" s="4" t="s">
        <v>1996</v>
      </c>
      <c r="E13" s="4" t="s">
        <v>1997</v>
      </c>
      <c r="F13" s="4" t="s">
        <v>713</v>
      </c>
      <c r="G13" s="4" t="s">
        <v>1998</v>
      </c>
      <c r="H13" s="4" t="s">
        <v>1999</v>
      </c>
      <c r="I13" s="7"/>
      <c r="J13" s="7"/>
      <c r="K13" s="7"/>
      <c r="L13" s="81"/>
      <c r="M13" s="12"/>
      <c r="N13" s="12"/>
      <c r="O13" s="12"/>
      <c r="P13" s="12"/>
      <c r="Q13" s="12"/>
      <c r="R13" s="12"/>
    </row>
    <row r="14" spans="1:18" ht="29.25">
      <c r="A14" s="3">
        <f t="shared" si="0"/>
        <v>13</v>
      </c>
      <c r="B14" s="4" t="s">
        <v>2000</v>
      </c>
      <c r="C14" s="4" t="s">
        <v>1938</v>
      </c>
      <c r="D14" s="4" t="s">
        <v>2001</v>
      </c>
      <c r="E14" s="4" t="s">
        <v>2002</v>
      </c>
      <c r="F14" s="4" t="s">
        <v>664</v>
      </c>
      <c r="G14" s="4" t="s">
        <v>2003</v>
      </c>
      <c r="H14" s="4" t="s">
        <v>2004</v>
      </c>
      <c r="I14" s="7"/>
      <c r="J14" s="7"/>
      <c r="K14" s="7"/>
      <c r="L14" s="81"/>
      <c r="M14" s="12"/>
      <c r="N14" s="12"/>
      <c r="O14" s="12"/>
      <c r="P14" s="12"/>
      <c r="Q14" s="12"/>
      <c r="R14" s="12"/>
    </row>
    <row r="15" spans="1:18" ht="43.5">
      <c r="A15" s="3">
        <f t="shared" si="0"/>
        <v>14</v>
      </c>
      <c r="B15" s="4" t="s">
        <v>2005</v>
      </c>
      <c r="C15" s="4" t="s">
        <v>1938</v>
      </c>
      <c r="D15" s="4" t="s">
        <v>2006</v>
      </c>
      <c r="E15" s="4" t="s">
        <v>2007</v>
      </c>
      <c r="F15" s="4" t="s">
        <v>847</v>
      </c>
      <c r="G15" s="4" t="s">
        <v>2008</v>
      </c>
      <c r="H15" s="4" t="s">
        <v>2009</v>
      </c>
      <c r="I15" s="7"/>
      <c r="J15" s="7"/>
      <c r="K15" s="7"/>
      <c r="L15" s="81"/>
      <c r="M15" s="12"/>
      <c r="N15" s="12"/>
      <c r="O15" s="12"/>
      <c r="P15" s="12"/>
      <c r="Q15" s="12"/>
      <c r="R15" s="12"/>
    </row>
    <row r="16" spans="1:18" ht="43.5">
      <c r="A16" s="3">
        <f t="shared" si="0"/>
        <v>15</v>
      </c>
      <c r="B16" s="4" t="s">
        <v>2010</v>
      </c>
      <c r="C16" s="4" t="s">
        <v>1938</v>
      </c>
      <c r="D16" s="4" t="s">
        <v>2011</v>
      </c>
      <c r="E16" s="4" t="s">
        <v>2012</v>
      </c>
      <c r="F16" s="4" t="s">
        <v>1120</v>
      </c>
      <c r="G16" s="4" t="s">
        <v>2013</v>
      </c>
      <c r="H16" s="4" t="s">
        <v>2014</v>
      </c>
      <c r="I16" s="7"/>
      <c r="J16" s="7"/>
      <c r="K16" s="7"/>
      <c r="L16" s="81"/>
      <c r="M16" s="12"/>
      <c r="N16" s="12"/>
      <c r="O16" s="12"/>
      <c r="P16" s="12"/>
      <c r="Q16" s="12"/>
      <c r="R16" s="12"/>
    </row>
    <row r="17" spans="1:18" ht="29.25">
      <c r="A17" s="3">
        <f t="shared" si="0"/>
        <v>16</v>
      </c>
      <c r="B17" s="4" t="s">
        <v>2015</v>
      </c>
      <c r="C17" s="4" t="s">
        <v>1938</v>
      </c>
      <c r="D17" s="4" t="s">
        <v>2016</v>
      </c>
      <c r="E17" s="4" t="s">
        <v>2017</v>
      </c>
      <c r="F17" s="4" t="s">
        <v>2018</v>
      </c>
      <c r="G17" s="4" t="s">
        <v>2019</v>
      </c>
      <c r="H17" s="4" t="s">
        <v>2020</v>
      </c>
      <c r="I17" s="7"/>
      <c r="J17" s="7"/>
      <c r="K17" s="7"/>
      <c r="L17" s="81"/>
      <c r="M17" s="12"/>
      <c r="N17" s="12"/>
      <c r="O17" s="12"/>
      <c r="P17" s="12"/>
      <c r="Q17" s="12"/>
      <c r="R17" s="12"/>
    </row>
    <row r="18" spans="1:18" ht="29.25">
      <c r="A18" s="3">
        <f t="shared" si="0"/>
        <v>17</v>
      </c>
      <c r="B18" s="4" t="s">
        <v>2021</v>
      </c>
      <c r="C18" s="4" t="s">
        <v>1938</v>
      </c>
      <c r="D18" s="4" t="s">
        <v>2022</v>
      </c>
      <c r="E18" s="4" t="s">
        <v>2023</v>
      </c>
      <c r="F18" s="4" t="s">
        <v>651</v>
      </c>
      <c r="G18" s="4" t="s">
        <v>2024</v>
      </c>
      <c r="H18" s="4" t="s">
        <v>2025</v>
      </c>
      <c r="I18" s="7"/>
      <c r="J18" s="7"/>
      <c r="K18" s="7"/>
      <c r="L18" s="81"/>
      <c r="M18" s="12"/>
      <c r="N18" s="12"/>
      <c r="O18" s="12"/>
      <c r="P18" s="12"/>
      <c r="Q18" s="12"/>
      <c r="R18" s="12"/>
    </row>
    <row r="19" spans="1:18" ht="29.25">
      <c r="A19" s="3">
        <f t="shared" si="0"/>
        <v>18</v>
      </c>
      <c r="B19" s="4" t="s">
        <v>2026</v>
      </c>
      <c r="C19" s="4" t="s">
        <v>1938</v>
      </c>
      <c r="D19" s="4" t="s">
        <v>2027</v>
      </c>
      <c r="E19" s="4" t="s">
        <v>2028</v>
      </c>
      <c r="F19" s="4" t="s">
        <v>1607</v>
      </c>
      <c r="G19" s="4" t="s">
        <v>2029</v>
      </c>
      <c r="H19" s="4" t="s">
        <v>2030</v>
      </c>
      <c r="I19" s="7"/>
      <c r="J19" s="7"/>
      <c r="K19" s="7"/>
      <c r="L19" s="81"/>
      <c r="M19" s="12"/>
      <c r="N19" s="12"/>
      <c r="O19" s="12"/>
      <c r="P19" s="12"/>
      <c r="Q19" s="12"/>
      <c r="R19" s="12"/>
    </row>
    <row r="20" spans="1:18" ht="29.25">
      <c r="A20" s="3">
        <f t="shared" si="0"/>
        <v>19</v>
      </c>
      <c r="B20" s="4" t="s">
        <v>2031</v>
      </c>
      <c r="C20" s="4" t="s">
        <v>1938</v>
      </c>
      <c r="D20" s="4" t="s">
        <v>2032</v>
      </c>
      <c r="E20" s="4" t="s">
        <v>2033</v>
      </c>
      <c r="F20" s="4" t="s">
        <v>1756</v>
      </c>
      <c r="G20" s="4" t="s">
        <v>2034</v>
      </c>
      <c r="H20" s="4" t="s">
        <v>2035</v>
      </c>
      <c r="I20" s="7"/>
      <c r="J20" s="7"/>
      <c r="K20" s="7"/>
      <c r="L20" s="81"/>
      <c r="M20" s="12"/>
      <c r="N20" s="12"/>
      <c r="O20" s="12"/>
      <c r="P20" s="12"/>
      <c r="Q20" s="12"/>
      <c r="R20" s="12"/>
    </row>
    <row r="21" spans="1:18" ht="43.5">
      <c r="A21" s="3">
        <f t="shared" si="0"/>
        <v>20</v>
      </c>
      <c r="B21" s="4" t="s">
        <v>2036</v>
      </c>
      <c r="C21" s="4" t="s">
        <v>1938</v>
      </c>
      <c r="D21" s="4" t="s">
        <v>2037</v>
      </c>
      <c r="E21" s="4" t="s">
        <v>2038</v>
      </c>
      <c r="F21" s="4" t="s">
        <v>554</v>
      </c>
      <c r="G21" s="4" t="s">
        <v>2039</v>
      </c>
      <c r="H21" s="4" t="s">
        <v>2040</v>
      </c>
      <c r="I21" s="7"/>
      <c r="J21" s="7"/>
      <c r="K21" s="7"/>
      <c r="L21" s="81"/>
      <c r="M21" s="12"/>
      <c r="N21" s="12"/>
      <c r="O21" s="12"/>
      <c r="P21" s="12"/>
      <c r="Q21" s="12"/>
      <c r="R21" s="12"/>
    </row>
    <row r="22" spans="1:18" ht="43.5">
      <c r="A22" s="3">
        <f t="shared" si="0"/>
        <v>21</v>
      </c>
      <c r="B22" s="4" t="s">
        <v>2041</v>
      </c>
      <c r="C22" s="4" t="s">
        <v>1938</v>
      </c>
      <c r="D22" s="4" t="s">
        <v>2042</v>
      </c>
      <c r="E22" s="4" t="s">
        <v>2043</v>
      </c>
      <c r="F22" s="4" t="s">
        <v>1794</v>
      </c>
      <c r="G22" s="4" t="s">
        <v>2044</v>
      </c>
      <c r="H22" s="4" t="s">
        <v>2045</v>
      </c>
      <c r="I22" s="7"/>
      <c r="J22" s="7"/>
      <c r="K22" s="7"/>
      <c r="L22" s="81"/>
      <c r="M22" s="12"/>
      <c r="N22" s="12"/>
      <c r="O22" s="12"/>
      <c r="P22" s="12"/>
      <c r="Q22" s="12"/>
      <c r="R22" s="12"/>
    </row>
    <row r="23" spans="1:18" ht="43.5">
      <c r="A23" s="3">
        <f t="shared" si="0"/>
        <v>22</v>
      </c>
      <c r="B23" s="4" t="s">
        <v>2046</v>
      </c>
      <c r="C23" s="4" t="s">
        <v>1938</v>
      </c>
      <c r="D23" s="4" t="s">
        <v>2047</v>
      </c>
      <c r="E23" s="4" t="s">
        <v>2048</v>
      </c>
      <c r="F23" s="4" t="s">
        <v>1542</v>
      </c>
      <c r="G23" s="4" t="s">
        <v>2049</v>
      </c>
      <c r="H23" s="4" t="s">
        <v>2050</v>
      </c>
      <c r="I23" s="7"/>
      <c r="J23" s="7"/>
      <c r="K23" s="7"/>
      <c r="L23" s="81"/>
      <c r="M23" s="12"/>
      <c r="N23" s="12"/>
      <c r="O23" s="12"/>
      <c r="P23" s="12"/>
      <c r="Q23" s="12"/>
      <c r="R23" s="12"/>
    </row>
    <row r="24" spans="1:18" ht="43.5">
      <c r="A24" s="3">
        <f t="shared" si="0"/>
        <v>23</v>
      </c>
      <c r="B24" s="4" t="s">
        <v>2051</v>
      </c>
      <c r="C24" s="4" t="s">
        <v>1938</v>
      </c>
      <c r="D24" s="4" t="s">
        <v>2052</v>
      </c>
      <c r="E24" s="4" t="s">
        <v>2053</v>
      </c>
      <c r="F24" s="4" t="s">
        <v>176</v>
      </c>
      <c r="G24" s="4" t="s">
        <v>2054</v>
      </c>
      <c r="H24" s="4" t="s">
        <v>2055</v>
      </c>
      <c r="I24" s="7"/>
      <c r="J24" s="7"/>
      <c r="K24" s="7"/>
      <c r="L24" s="81"/>
      <c r="M24" s="12"/>
      <c r="N24" s="12"/>
      <c r="O24" s="12"/>
      <c r="P24" s="12"/>
      <c r="Q24" s="12"/>
      <c r="R24" s="12"/>
    </row>
    <row r="25" spans="1:18" ht="29.25">
      <c r="A25" s="3">
        <f t="shared" si="0"/>
        <v>24</v>
      </c>
      <c r="B25" s="4" t="s">
        <v>2056</v>
      </c>
      <c r="C25" s="4" t="s">
        <v>1938</v>
      </c>
      <c r="D25" s="4" t="s">
        <v>2057</v>
      </c>
      <c r="E25" s="4" t="s">
        <v>2058</v>
      </c>
      <c r="F25" s="4" t="s">
        <v>1857</v>
      </c>
      <c r="G25" s="4" t="s">
        <v>2059</v>
      </c>
      <c r="H25" s="4" t="s">
        <v>2060</v>
      </c>
      <c r="I25" s="7"/>
      <c r="J25" s="7"/>
      <c r="K25" s="7"/>
      <c r="L25" s="81"/>
      <c r="M25" s="12"/>
      <c r="N25" s="12"/>
      <c r="O25" s="12"/>
      <c r="P25" s="12"/>
      <c r="Q25" s="12"/>
      <c r="R25" s="12"/>
    </row>
    <row r="26" spans="1:18" ht="43.5">
      <c r="A26" s="3">
        <f t="shared" si="0"/>
        <v>25</v>
      </c>
      <c r="B26" s="4" t="s">
        <v>2061</v>
      </c>
      <c r="C26" s="4" t="s">
        <v>1938</v>
      </c>
      <c r="D26" s="4" t="s">
        <v>2062</v>
      </c>
      <c r="E26" s="4" t="s">
        <v>2063</v>
      </c>
      <c r="F26" s="4" t="s">
        <v>554</v>
      </c>
      <c r="G26" s="4" t="s">
        <v>2064</v>
      </c>
      <c r="H26" s="4" t="s">
        <v>2065</v>
      </c>
      <c r="I26" s="7"/>
      <c r="J26" s="7"/>
      <c r="K26" s="7"/>
      <c r="L26" s="81"/>
      <c r="M26" s="12"/>
      <c r="N26" s="12"/>
      <c r="O26" s="12"/>
      <c r="P26" s="12"/>
      <c r="Q26" s="12"/>
      <c r="R26" s="12"/>
    </row>
    <row r="27" spans="1:18" ht="43.5">
      <c r="A27" s="3">
        <f t="shared" si="0"/>
        <v>26</v>
      </c>
      <c r="B27" s="4" t="s">
        <v>2066</v>
      </c>
      <c r="C27" s="4" t="s">
        <v>1938</v>
      </c>
      <c r="D27" s="4" t="s">
        <v>2067</v>
      </c>
      <c r="E27" s="4" t="s">
        <v>2068</v>
      </c>
      <c r="F27" s="4" t="s">
        <v>847</v>
      </c>
      <c r="G27" s="4" t="s">
        <v>2069</v>
      </c>
      <c r="H27" s="4" t="s">
        <v>2070</v>
      </c>
      <c r="I27" s="7"/>
      <c r="J27" s="7"/>
      <c r="K27" s="7"/>
      <c r="L27" s="81"/>
      <c r="M27" s="12"/>
      <c r="N27" s="12"/>
      <c r="O27" s="12"/>
      <c r="P27" s="12"/>
      <c r="Q27" s="12"/>
      <c r="R27" s="12"/>
    </row>
    <row r="28" spans="1:18" ht="29.25">
      <c r="A28" s="3">
        <f t="shared" si="0"/>
        <v>27</v>
      </c>
      <c r="B28" s="4" t="s">
        <v>2071</v>
      </c>
      <c r="C28" s="4" t="s">
        <v>1938</v>
      </c>
      <c r="D28" s="4" t="s">
        <v>2072</v>
      </c>
      <c r="E28" s="4" t="s">
        <v>2073</v>
      </c>
      <c r="F28" s="4" t="s">
        <v>2074</v>
      </c>
      <c r="G28" s="4" t="s">
        <v>2075</v>
      </c>
      <c r="H28" s="4" t="s">
        <v>2076</v>
      </c>
      <c r="I28" s="7"/>
      <c r="J28" s="7"/>
      <c r="K28" s="7"/>
      <c r="L28" s="81"/>
      <c r="M28" s="12"/>
      <c r="N28" s="12"/>
      <c r="O28" s="12"/>
      <c r="P28" s="12"/>
      <c r="Q28" s="12"/>
      <c r="R28" s="12"/>
    </row>
    <row r="29" spans="1:18" ht="43.5">
      <c r="A29" s="3">
        <f t="shared" si="0"/>
        <v>28</v>
      </c>
      <c r="B29" s="4" t="s">
        <v>2077</v>
      </c>
      <c r="C29" s="4" t="s">
        <v>1938</v>
      </c>
      <c r="D29" s="4" t="s">
        <v>2078</v>
      </c>
      <c r="E29" s="4" t="s">
        <v>2079</v>
      </c>
      <c r="F29" s="4" t="s">
        <v>1718</v>
      </c>
      <c r="G29" s="4" t="s">
        <v>2080</v>
      </c>
      <c r="H29" s="4" t="s">
        <v>2081</v>
      </c>
      <c r="I29" s="7"/>
      <c r="J29" s="7"/>
      <c r="K29" s="7"/>
      <c r="L29" s="81"/>
      <c r="M29" s="12"/>
      <c r="N29" s="12"/>
      <c r="O29" s="12"/>
      <c r="P29" s="12"/>
      <c r="Q29" s="12"/>
      <c r="R29" s="12"/>
    </row>
    <row r="30" spans="1:18" ht="43.5">
      <c r="A30" s="3">
        <f t="shared" si="0"/>
        <v>29</v>
      </c>
      <c r="B30" s="4" t="s">
        <v>2082</v>
      </c>
      <c r="C30" s="4" t="s">
        <v>1938</v>
      </c>
      <c r="D30" s="4" t="s">
        <v>2083</v>
      </c>
      <c r="E30" s="4" t="s">
        <v>2084</v>
      </c>
      <c r="F30" s="4" t="s">
        <v>2085</v>
      </c>
      <c r="G30" s="4" t="s">
        <v>2086</v>
      </c>
      <c r="H30" s="4" t="s">
        <v>2087</v>
      </c>
      <c r="I30" s="7"/>
      <c r="J30" s="7"/>
      <c r="K30" s="7"/>
      <c r="L30" s="81"/>
      <c r="M30" s="12"/>
      <c r="N30" s="12"/>
      <c r="O30" s="12"/>
      <c r="P30" s="12"/>
      <c r="Q30" s="12"/>
      <c r="R30" s="12"/>
    </row>
    <row r="31" spans="1:18" ht="57.75">
      <c r="A31" s="3">
        <f t="shared" si="0"/>
        <v>30</v>
      </c>
      <c r="B31" s="4" t="s">
        <v>2088</v>
      </c>
      <c r="C31" s="4" t="s">
        <v>1938</v>
      </c>
      <c r="D31" s="4" t="s">
        <v>2089</v>
      </c>
      <c r="E31" s="4" t="s">
        <v>2090</v>
      </c>
      <c r="F31" s="4" t="s">
        <v>847</v>
      </c>
      <c r="G31" s="4" t="s">
        <v>2091</v>
      </c>
      <c r="H31" s="4" t="s">
        <v>2092</v>
      </c>
      <c r="I31" s="7"/>
      <c r="J31" s="7"/>
      <c r="K31" s="7"/>
      <c r="L31" s="81"/>
      <c r="M31" s="12"/>
      <c r="N31" s="12"/>
      <c r="O31" s="12"/>
      <c r="P31" s="12"/>
      <c r="Q31" s="12"/>
      <c r="R31"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2937-1DDD-4726-9495-4A27DB14B854}">
  <dimension ref="A1:R31"/>
  <sheetViews>
    <sheetView workbookViewId="0">
      <selection activeCell="M2" sqref="M2"/>
    </sheetView>
  </sheetViews>
  <sheetFormatPr defaultRowHeight="49.5" customHeight="1"/>
  <cols>
    <col min="2" max="2" width="14.5703125" customWidth="1"/>
    <col min="4" max="4" width="20.140625" customWidth="1"/>
    <col min="5" max="5" width="24.42578125" customWidth="1"/>
    <col min="6" max="6" width="15.140625" customWidth="1"/>
    <col min="7" max="7" width="39.42578125" customWidth="1"/>
    <col min="8" max="8" width="27.5703125" customWidth="1"/>
    <col min="11" max="11" width="19.42578125" customWidth="1"/>
    <col min="12" max="12" width="23.5703125" customWidth="1"/>
    <col min="13" max="13" width="19.5703125" customWidth="1"/>
    <col min="14" max="14" width="22" customWidth="1"/>
    <col min="15" max="15" width="18.85546875" customWidth="1"/>
    <col min="16" max="16" width="18.42578125" customWidth="1"/>
    <col min="17" max="17" width="25.85546875" customWidth="1"/>
    <col min="18" max="18" width="20.140625" customWidth="1"/>
  </cols>
  <sheetData>
    <row r="1" spans="1:18" ht="49.5" customHeight="1">
      <c r="A1" s="1" t="s">
        <v>48</v>
      </c>
      <c r="B1" s="2" t="s">
        <v>49</v>
      </c>
      <c r="C1" s="2" t="s">
        <v>50</v>
      </c>
      <c r="D1" s="2" t="s">
        <v>16</v>
      </c>
      <c r="E1" s="2" t="s">
        <v>52</v>
      </c>
      <c r="F1" s="2" t="s">
        <v>53</v>
      </c>
      <c r="G1" s="2" t="s">
        <v>54</v>
      </c>
      <c r="H1" s="2" t="s">
        <v>55</v>
      </c>
      <c r="I1" s="2" t="s">
        <v>56</v>
      </c>
      <c r="J1" s="2" t="s">
        <v>57</v>
      </c>
      <c r="K1" s="2" t="s">
        <v>58</v>
      </c>
      <c r="L1" s="2" t="s">
        <v>59</v>
      </c>
      <c r="M1" s="82" t="s">
        <v>60</v>
      </c>
      <c r="N1" s="82" t="s">
        <v>61</v>
      </c>
      <c r="O1" s="82" t="s">
        <v>62</v>
      </c>
      <c r="P1" s="82" t="s">
        <v>63</v>
      </c>
      <c r="Q1" s="82" t="s">
        <v>64</v>
      </c>
      <c r="R1" s="82" t="s">
        <v>46</v>
      </c>
    </row>
    <row r="2" spans="1:18" ht="49.5" customHeight="1">
      <c r="A2" s="3">
        <v>1</v>
      </c>
      <c r="B2" s="4" t="s">
        <v>2093</v>
      </c>
      <c r="C2" s="4" t="s">
        <v>180</v>
      </c>
      <c r="D2" s="4" t="s">
        <v>2094</v>
      </c>
      <c r="E2" s="4" t="s">
        <v>2095</v>
      </c>
      <c r="F2" s="4" t="s">
        <v>183</v>
      </c>
      <c r="G2" s="4" t="s">
        <v>2096</v>
      </c>
      <c r="H2" s="4" t="s">
        <v>727</v>
      </c>
      <c r="I2" s="7"/>
      <c r="J2" s="7"/>
      <c r="K2" s="7"/>
      <c r="L2" s="81"/>
      <c r="M2" s="12"/>
      <c r="N2" s="12"/>
      <c r="O2" s="12"/>
      <c r="P2" s="12"/>
      <c r="Q2" s="12"/>
      <c r="R2" s="12"/>
    </row>
    <row r="3" spans="1:18" ht="49.5" customHeight="1">
      <c r="A3" s="3">
        <f>1+A2</f>
        <v>2</v>
      </c>
      <c r="B3" s="4" t="s">
        <v>2097</v>
      </c>
      <c r="C3" s="4" t="s">
        <v>180</v>
      </c>
      <c r="D3" s="4" t="s">
        <v>2098</v>
      </c>
      <c r="E3" s="4" t="s">
        <v>2099</v>
      </c>
      <c r="F3" s="4" t="s">
        <v>2100</v>
      </c>
      <c r="G3" s="4" t="s">
        <v>2101</v>
      </c>
      <c r="H3" s="4" t="s">
        <v>2102</v>
      </c>
      <c r="I3" s="7"/>
      <c r="J3" s="7"/>
      <c r="K3" s="7"/>
      <c r="L3" s="81"/>
      <c r="M3" s="12"/>
      <c r="N3" s="12"/>
      <c r="O3" s="12"/>
      <c r="P3" s="12"/>
      <c r="Q3" s="12"/>
      <c r="R3" s="12"/>
    </row>
    <row r="4" spans="1:18" ht="49.5" customHeight="1">
      <c r="A4" s="3">
        <f t="shared" ref="A4:A31" si="0">1+A3</f>
        <v>3</v>
      </c>
      <c r="B4" s="4" t="s">
        <v>2103</v>
      </c>
      <c r="C4" s="4" t="s">
        <v>180</v>
      </c>
      <c r="D4" s="4" t="s">
        <v>2104</v>
      </c>
      <c r="E4" s="4" t="s">
        <v>2105</v>
      </c>
      <c r="F4" s="4" t="s">
        <v>554</v>
      </c>
      <c r="G4" s="4" t="s">
        <v>2106</v>
      </c>
      <c r="H4" s="4" t="s">
        <v>2107</v>
      </c>
      <c r="I4" s="7"/>
      <c r="J4" s="7"/>
      <c r="K4" s="7"/>
      <c r="L4" s="81"/>
      <c r="M4" s="12"/>
      <c r="N4" s="12"/>
      <c r="O4" s="12"/>
      <c r="P4" s="12"/>
      <c r="Q4" s="12"/>
      <c r="R4" s="12"/>
    </row>
    <row r="5" spans="1:18" ht="49.5" customHeight="1">
      <c r="A5" s="3">
        <f t="shared" si="0"/>
        <v>4</v>
      </c>
      <c r="B5" s="4" t="s">
        <v>2108</v>
      </c>
      <c r="C5" s="4" t="s">
        <v>180</v>
      </c>
      <c r="D5" s="4" t="s">
        <v>2109</v>
      </c>
      <c r="E5" s="4" t="s">
        <v>2110</v>
      </c>
      <c r="F5" s="4" t="s">
        <v>2111</v>
      </c>
      <c r="G5" s="4" t="s">
        <v>2112</v>
      </c>
      <c r="H5" s="4" t="s">
        <v>2113</v>
      </c>
      <c r="I5" s="7"/>
      <c r="J5" s="7"/>
      <c r="K5" s="7"/>
      <c r="L5" s="81"/>
      <c r="M5" s="12"/>
      <c r="N5" s="12"/>
      <c r="O5" s="12"/>
      <c r="P5" s="12"/>
      <c r="Q5" s="12"/>
      <c r="R5" s="12"/>
    </row>
    <row r="6" spans="1:18" ht="49.5" customHeight="1">
      <c r="A6" s="3">
        <f t="shared" si="0"/>
        <v>5</v>
      </c>
      <c r="B6" s="4" t="s">
        <v>2114</v>
      </c>
      <c r="C6" s="4" t="s">
        <v>180</v>
      </c>
      <c r="D6" s="4" t="s">
        <v>2115</v>
      </c>
      <c r="E6" s="4" t="s">
        <v>2116</v>
      </c>
      <c r="F6" s="4" t="s">
        <v>2117</v>
      </c>
      <c r="G6" s="4" t="s">
        <v>2118</v>
      </c>
      <c r="H6" s="4" t="s">
        <v>2119</v>
      </c>
      <c r="I6" s="7"/>
      <c r="J6" s="7"/>
      <c r="K6" s="7"/>
      <c r="L6" s="81"/>
      <c r="M6" s="12"/>
      <c r="N6" s="12"/>
      <c r="O6" s="12"/>
      <c r="P6" s="12"/>
      <c r="Q6" s="12"/>
      <c r="R6" s="12"/>
    </row>
    <row r="7" spans="1:18" ht="49.5" customHeight="1">
      <c r="A7" s="3">
        <f t="shared" si="0"/>
        <v>6</v>
      </c>
      <c r="B7" s="4" t="s">
        <v>2120</v>
      </c>
      <c r="C7" s="4" t="s">
        <v>180</v>
      </c>
      <c r="D7" s="4" t="s">
        <v>2121</v>
      </c>
      <c r="E7" s="4" t="s">
        <v>2122</v>
      </c>
      <c r="F7" s="4" t="s">
        <v>2123</v>
      </c>
      <c r="G7" s="4" t="s">
        <v>2124</v>
      </c>
      <c r="H7" s="4" t="s">
        <v>2125</v>
      </c>
      <c r="I7" s="7"/>
      <c r="J7" s="7"/>
      <c r="K7" s="7"/>
      <c r="L7" s="81"/>
      <c r="M7" s="12"/>
      <c r="N7" s="12"/>
      <c r="O7" s="12"/>
      <c r="P7" s="12"/>
      <c r="Q7" s="12"/>
      <c r="R7" s="12"/>
    </row>
    <row r="8" spans="1:18" ht="49.5" customHeight="1">
      <c r="A8" s="3">
        <f t="shared" si="0"/>
        <v>7</v>
      </c>
      <c r="B8" s="4" t="s">
        <v>2126</v>
      </c>
      <c r="C8" s="4" t="s">
        <v>180</v>
      </c>
      <c r="D8" s="4" t="s">
        <v>2127</v>
      </c>
      <c r="E8" s="4" t="s">
        <v>2128</v>
      </c>
      <c r="F8" s="4" t="s">
        <v>2129</v>
      </c>
      <c r="G8" s="4" t="s">
        <v>2130</v>
      </c>
      <c r="H8" s="4" t="s">
        <v>2131</v>
      </c>
      <c r="I8" s="7"/>
      <c r="J8" s="7"/>
      <c r="K8" s="7"/>
      <c r="L8" s="81"/>
      <c r="M8" s="12"/>
      <c r="N8" s="12"/>
      <c r="O8" s="12"/>
      <c r="P8" s="12"/>
      <c r="Q8" s="12"/>
      <c r="R8" s="12"/>
    </row>
    <row r="9" spans="1:18" ht="49.5" customHeight="1">
      <c r="A9" s="3">
        <f t="shared" si="0"/>
        <v>8</v>
      </c>
      <c r="B9" s="4" t="s">
        <v>2132</v>
      </c>
      <c r="C9" s="4" t="s">
        <v>180</v>
      </c>
      <c r="D9" s="4" t="s">
        <v>2133</v>
      </c>
      <c r="E9" s="4" t="s">
        <v>2134</v>
      </c>
      <c r="F9" s="4" t="s">
        <v>2135</v>
      </c>
      <c r="G9" s="4" t="s">
        <v>2136</v>
      </c>
      <c r="H9" s="4" t="s">
        <v>2137</v>
      </c>
      <c r="I9" s="7"/>
      <c r="J9" s="7"/>
      <c r="K9" s="7"/>
      <c r="L9" s="81"/>
      <c r="M9" s="12"/>
      <c r="N9" s="12"/>
      <c r="O9" s="12"/>
      <c r="P9" s="12"/>
      <c r="Q9" s="12"/>
      <c r="R9" s="12"/>
    </row>
    <row r="10" spans="1:18" ht="49.5" customHeight="1">
      <c r="A10" s="3">
        <f t="shared" si="0"/>
        <v>9</v>
      </c>
      <c r="B10" s="4" t="s">
        <v>2138</v>
      </c>
      <c r="C10" s="4" t="s">
        <v>180</v>
      </c>
      <c r="D10" s="4" t="s">
        <v>2139</v>
      </c>
      <c r="E10" s="4" t="s">
        <v>840</v>
      </c>
      <c r="F10" s="4" t="s">
        <v>929</v>
      </c>
      <c r="G10" s="4" t="s">
        <v>2140</v>
      </c>
      <c r="H10" s="4" t="s">
        <v>2141</v>
      </c>
      <c r="I10" s="7"/>
      <c r="J10" s="7"/>
      <c r="K10" s="7"/>
      <c r="L10" s="81"/>
      <c r="M10" s="12"/>
      <c r="N10" s="12"/>
      <c r="O10" s="12"/>
      <c r="P10" s="12"/>
      <c r="Q10" s="12"/>
      <c r="R10" s="12"/>
    </row>
    <row r="11" spans="1:18" ht="49.5" customHeight="1">
      <c r="A11" s="3">
        <f t="shared" si="0"/>
        <v>10</v>
      </c>
      <c r="B11" s="4" t="s">
        <v>2142</v>
      </c>
      <c r="C11" s="4" t="s">
        <v>180</v>
      </c>
      <c r="D11" s="4" t="s">
        <v>2143</v>
      </c>
      <c r="E11" s="4" t="s">
        <v>2144</v>
      </c>
      <c r="F11" s="4" t="s">
        <v>2145</v>
      </c>
      <c r="G11" s="4" t="s">
        <v>2146</v>
      </c>
      <c r="H11" s="4" t="s">
        <v>2147</v>
      </c>
      <c r="I11" s="7"/>
      <c r="J11" s="7"/>
      <c r="K11" s="7"/>
      <c r="L11" s="81"/>
      <c r="M11" s="12"/>
      <c r="N11" s="12"/>
      <c r="O11" s="12"/>
      <c r="P11" s="12"/>
      <c r="Q11" s="12"/>
      <c r="R11" s="12"/>
    </row>
    <row r="12" spans="1:18" ht="49.5" customHeight="1">
      <c r="A12" s="3">
        <f t="shared" si="0"/>
        <v>11</v>
      </c>
      <c r="B12" s="4" t="s">
        <v>2148</v>
      </c>
      <c r="C12" s="4" t="s">
        <v>180</v>
      </c>
      <c r="D12" s="4" t="s">
        <v>2149</v>
      </c>
      <c r="E12" s="4" t="s">
        <v>2150</v>
      </c>
      <c r="F12" s="4" t="s">
        <v>906</v>
      </c>
      <c r="G12" s="4" t="s">
        <v>2151</v>
      </c>
      <c r="H12" s="4" t="s">
        <v>2152</v>
      </c>
      <c r="I12" s="7"/>
      <c r="J12" s="7"/>
      <c r="K12" s="7"/>
      <c r="L12" s="81"/>
      <c r="M12" s="12"/>
      <c r="N12" s="12"/>
      <c r="O12" s="12"/>
      <c r="P12" s="12"/>
      <c r="Q12" s="12"/>
      <c r="R12" s="12"/>
    </row>
    <row r="13" spans="1:18" ht="49.5" customHeight="1">
      <c r="A13" s="3">
        <f t="shared" si="0"/>
        <v>12</v>
      </c>
      <c r="B13" s="4" t="s">
        <v>2153</v>
      </c>
      <c r="C13" s="4" t="s">
        <v>180</v>
      </c>
      <c r="D13" s="4" t="s">
        <v>2154</v>
      </c>
      <c r="E13" s="4" t="s">
        <v>2155</v>
      </c>
      <c r="F13" s="4" t="s">
        <v>1846</v>
      </c>
      <c r="G13" s="4" t="s">
        <v>2156</v>
      </c>
      <c r="H13" s="4" t="s">
        <v>2157</v>
      </c>
      <c r="I13" s="7"/>
      <c r="J13" s="7"/>
      <c r="K13" s="7"/>
      <c r="L13" s="81"/>
      <c r="M13" s="12"/>
      <c r="N13" s="12"/>
      <c r="O13" s="12"/>
      <c r="P13" s="12"/>
      <c r="Q13" s="12"/>
      <c r="R13" s="12"/>
    </row>
    <row r="14" spans="1:18" ht="49.5" customHeight="1">
      <c r="A14" s="3">
        <f t="shared" si="0"/>
        <v>13</v>
      </c>
      <c r="B14" s="4" t="s">
        <v>2158</v>
      </c>
      <c r="C14" s="4" t="s">
        <v>180</v>
      </c>
      <c r="D14" s="4" t="s">
        <v>2159</v>
      </c>
      <c r="E14" s="4" t="s">
        <v>2160</v>
      </c>
      <c r="F14" s="4" t="s">
        <v>110</v>
      </c>
      <c r="G14" s="4" t="s">
        <v>2161</v>
      </c>
      <c r="H14" s="4" t="s">
        <v>2162</v>
      </c>
      <c r="I14" s="7"/>
      <c r="J14" s="7"/>
      <c r="K14" s="7"/>
      <c r="L14" s="81"/>
      <c r="M14" s="12"/>
      <c r="N14" s="12"/>
      <c r="O14" s="12"/>
      <c r="P14" s="12"/>
      <c r="Q14" s="12"/>
      <c r="R14" s="12"/>
    </row>
    <row r="15" spans="1:18" ht="49.5" customHeight="1">
      <c r="A15" s="3">
        <f t="shared" si="0"/>
        <v>14</v>
      </c>
      <c r="B15" s="4" t="s">
        <v>2163</v>
      </c>
      <c r="C15" s="4" t="s">
        <v>180</v>
      </c>
      <c r="D15" s="4" t="s">
        <v>2164</v>
      </c>
      <c r="E15" s="4" t="s">
        <v>2165</v>
      </c>
      <c r="F15" s="4" t="s">
        <v>2166</v>
      </c>
      <c r="G15" s="4" t="s">
        <v>2167</v>
      </c>
      <c r="H15" s="4" t="s">
        <v>2168</v>
      </c>
      <c r="I15" s="7"/>
      <c r="J15" s="7"/>
      <c r="K15" s="7"/>
      <c r="L15" s="81"/>
      <c r="M15" s="12"/>
      <c r="N15" s="12"/>
      <c r="O15" s="12"/>
      <c r="P15" s="12"/>
      <c r="Q15" s="12"/>
      <c r="R15" s="12"/>
    </row>
    <row r="16" spans="1:18" ht="49.5" customHeight="1">
      <c r="A16" s="3">
        <f t="shared" si="0"/>
        <v>15</v>
      </c>
      <c r="B16" s="4" t="s">
        <v>2169</v>
      </c>
      <c r="C16" s="4" t="s">
        <v>180</v>
      </c>
      <c r="D16" s="4" t="s">
        <v>2170</v>
      </c>
      <c r="E16" s="4" t="s">
        <v>2171</v>
      </c>
      <c r="F16" s="4" t="s">
        <v>2172</v>
      </c>
      <c r="G16" s="4" t="s">
        <v>2173</v>
      </c>
      <c r="H16" s="4" t="s">
        <v>2174</v>
      </c>
      <c r="I16" s="7"/>
      <c r="J16" s="7"/>
      <c r="K16" s="7"/>
      <c r="L16" s="81"/>
      <c r="M16" s="12"/>
      <c r="N16" s="12"/>
      <c r="O16" s="12"/>
      <c r="P16" s="12"/>
      <c r="Q16" s="12"/>
      <c r="R16" s="12"/>
    </row>
    <row r="17" spans="1:18" ht="49.5" customHeight="1">
      <c r="A17" s="3">
        <f t="shared" si="0"/>
        <v>16</v>
      </c>
      <c r="B17" s="4" t="s">
        <v>2175</v>
      </c>
      <c r="C17" s="4" t="s">
        <v>180</v>
      </c>
      <c r="D17" s="4" t="s">
        <v>2176</v>
      </c>
      <c r="E17" s="4" t="s">
        <v>2177</v>
      </c>
      <c r="F17" s="4" t="s">
        <v>2178</v>
      </c>
      <c r="G17" s="4" t="s">
        <v>2179</v>
      </c>
      <c r="H17" s="4" t="s">
        <v>2180</v>
      </c>
      <c r="I17" s="7"/>
      <c r="J17" s="7"/>
      <c r="K17" s="7"/>
      <c r="L17" s="81"/>
      <c r="M17" s="12"/>
      <c r="N17" s="12"/>
      <c r="O17" s="12"/>
      <c r="P17" s="12"/>
      <c r="Q17" s="12"/>
      <c r="R17" s="12"/>
    </row>
    <row r="18" spans="1:18" ht="49.5" customHeight="1">
      <c r="A18" s="3">
        <f t="shared" si="0"/>
        <v>17</v>
      </c>
      <c r="B18" s="4" t="s">
        <v>2181</v>
      </c>
      <c r="C18" s="4" t="s">
        <v>180</v>
      </c>
      <c r="D18" s="4" t="s">
        <v>2182</v>
      </c>
      <c r="E18" s="4" t="s">
        <v>2183</v>
      </c>
      <c r="F18" s="4" t="s">
        <v>463</v>
      </c>
      <c r="G18" s="4" t="s">
        <v>2184</v>
      </c>
      <c r="H18" s="4" t="s">
        <v>2185</v>
      </c>
      <c r="I18" s="7"/>
      <c r="J18" s="7"/>
      <c r="K18" s="7"/>
      <c r="L18" s="81"/>
      <c r="M18" s="12"/>
      <c r="N18" s="12"/>
      <c r="O18" s="12"/>
      <c r="P18" s="12"/>
      <c r="Q18" s="12"/>
      <c r="R18" s="12"/>
    </row>
    <row r="19" spans="1:18" ht="49.5" customHeight="1">
      <c r="A19" s="3">
        <f t="shared" si="0"/>
        <v>18</v>
      </c>
      <c r="B19" s="4" t="s">
        <v>2186</v>
      </c>
      <c r="C19" s="4" t="s">
        <v>180</v>
      </c>
      <c r="D19" s="4" t="s">
        <v>2187</v>
      </c>
      <c r="E19" s="4" t="s">
        <v>2188</v>
      </c>
      <c r="F19" s="4" t="s">
        <v>2189</v>
      </c>
      <c r="G19" s="4" t="s">
        <v>2190</v>
      </c>
      <c r="H19" s="4" t="s">
        <v>2191</v>
      </c>
      <c r="I19" s="7"/>
      <c r="J19" s="7"/>
      <c r="K19" s="7"/>
      <c r="L19" s="81"/>
      <c r="M19" s="12"/>
      <c r="N19" s="12"/>
      <c r="O19" s="12"/>
      <c r="P19" s="12"/>
      <c r="Q19" s="12"/>
      <c r="R19" s="12"/>
    </row>
    <row r="20" spans="1:18" ht="49.5" customHeight="1">
      <c r="A20" s="3">
        <f t="shared" si="0"/>
        <v>19</v>
      </c>
      <c r="B20" s="4" t="s">
        <v>2192</v>
      </c>
      <c r="C20" s="4" t="s">
        <v>180</v>
      </c>
      <c r="D20" s="4" t="s">
        <v>2193</v>
      </c>
      <c r="E20" s="4" t="s">
        <v>2194</v>
      </c>
      <c r="F20" s="4" t="s">
        <v>2195</v>
      </c>
      <c r="G20" s="4" t="s">
        <v>2196</v>
      </c>
      <c r="H20" s="4" t="s">
        <v>2197</v>
      </c>
      <c r="I20" s="7"/>
      <c r="J20" s="7"/>
      <c r="K20" s="7"/>
      <c r="L20" s="81"/>
      <c r="M20" s="12"/>
      <c r="N20" s="12"/>
      <c r="O20" s="12"/>
      <c r="P20" s="12"/>
      <c r="Q20" s="12"/>
      <c r="R20" s="12"/>
    </row>
    <row r="21" spans="1:18" ht="49.5" customHeight="1">
      <c r="A21" s="3">
        <f t="shared" si="0"/>
        <v>20</v>
      </c>
      <c r="B21" s="4" t="s">
        <v>2198</v>
      </c>
      <c r="C21" s="4" t="s">
        <v>180</v>
      </c>
      <c r="D21" s="4" t="s">
        <v>2199</v>
      </c>
      <c r="E21" s="4" t="s">
        <v>2200</v>
      </c>
      <c r="F21" s="4" t="s">
        <v>2201</v>
      </c>
      <c r="G21" s="4" t="s">
        <v>2202</v>
      </c>
      <c r="H21" s="4" t="s">
        <v>2203</v>
      </c>
      <c r="I21" s="7"/>
      <c r="J21" s="7"/>
      <c r="K21" s="7"/>
      <c r="L21" s="81"/>
      <c r="M21" s="12"/>
      <c r="N21" s="12"/>
      <c r="O21" s="12"/>
      <c r="P21" s="12"/>
      <c r="Q21" s="12"/>
      <c r="R21" s="12"/>
    </row>
    <row r="22" spans="1:18" ht="49.5" customHeight="1">
      <c r="A22" s="3">
        <f t="shared" si="0"/>
        <v>21</v>
      </c>
      <c r="B22" s="4" t="s">
        <v>2204</v>
      </c>
      <c r="C22" s="4" t="s">
        <v>180</v>
      </c>
      <c r="D22" s="4" t="s">
        <v>2205</v>
      </c>
      <c r="E22" s="4" t="s">
        <v>2206</v>
      </c>
      <c r="F22" s="4" t="s">
        <v>750</v>
      </c>
      <c r="G22" s="4" t="s">
        <v>2207</v>
      </c>
      <c r="H22" s="4" t="s">
        <v>2208</v>
      </c>
      <c r="I22" s="7"/>
      <c r="J22" s="7"/>
      <c r="K22" s="7"/>
      <c r="L22" s="81"/>
      <c r="M22" s="12"/>
      <c r="N22" s="12"/>
      <c r="O22" s="12"/>
      <c r="P22" s="12"/>
      <c r="Q22" s="12"/>
      <c r="R22" s="12"/>
    </row>
    <row r="23" spans="1:18" ht="49.5" customHeight="1">
      <c r="A23" s="3">
        <f t="shared" si="0"/>
        <v>22</v>
      </c>
      <c r="B23" s="4" t="s">
        <v>2209</v>
      </c>
      <c r="C23" s="4" t="s">
        <v>180</v>
      </c>
      <c r="D23" s="4" t="s">
        <v>2210</v>
      </c>
      <c r="E23" s="4" t="s">
        <v>2211</v>
      </c>
      <c r="F23" s="4" t="s">
        <v>566</v>
      </c>
      <c r="G23" s="4" t="s">
        <v>2212</v>
      </c>
      <c r="H23" s="4" t="s">
        <v>2213</v>
      </c>
      <c r="I23" s="7"/>
      <c r="J23" s="7"/>
      <c r="K23" s="7"/>
      <c r="L23" s="81"/>
      <c r="M23" s="12"/>
      <c r="N23" s="12"/>
      <c r="O23" s="12"/>
      <c r="P23" s="12"/>
      <c r="Q23" s="12"/>
      <c r="R23" s="12"/>
    </row>
    <row r="24" spans="1:18" ht="49.5" customHeight="1">
      <c r="A24" s="3">
        <f t="shared" si="0"/>
        <v>23</v>
      </c>
      <c r="B24" s="4" t="s">
        <v>2214</v>
      </c>
      <c r="C24" s="4" t="s">
        <v>180</v>
      </c>
      <c r="D24" s="4" t="s">
        <v>2215</v>
      </c>
      <c r="E24" s="4" t="s">
        <v>2216</v>
      </c>
      <c r="F24" s="4" t="s">
        <v>2217</v>
      </c>
      <c r="G24" s="4" t="s">
        <v>2218</v>
      </c>
      <c r="H24" s="4" t="s">
        <v>2219</v>
      </c>
      <c r="I24" s="7"/>
      <c r="J24" s="7"/>
      <c r="K24" s="7"/>
      <c r="L24" s="81"/>
      <c r="M24" s="12"/>
      <c r="N24" s="12"/>
      <c r="O24" s="12"/>
      <c r="P24" s="12"/>
      <c r="Q24" s="12"/>
      <c r="R24" s="12"/>
    </row>
    <row r="25" spans="1:18" ht="49.5" customHeight="1">
      <c r="A25" s="3">
        <f t="shared" si="0"/>
        <v>24</v>
      </c>
      <c r="B25" s="4" t="s">
        <v>2220</v>
      </c>
      <c r="C25" s="4" t="s">
        <v>180</v>
      </c>
      <c r="D25" s="4" t="s">
        <v>2221</v>
      </c>
      <c r="E25" s="4" t="s">
        <v>2222</v>
      </c>
      <c r="F25" s="4" t="s">
        <v>2223</v>
      </c>
      <c r="G25" s="4" t="s">
        <v>2224</v>
      </c>
      <c r="H25" s="4" t="s">
        <v>2225</v>
      </c>
      <c r="I25" s="7"/>
      <c r="J25" s="7"/>
      <c r="K25" s="7"/>
      <c r="L25" s="81"/>
      <c r="M25" s="12"/>
      <c r="N25" s="12"/>
      <c r="O25" s="12"/>
      <c r="P25" s="12"/>
      <c r="Q25" s="12"/>
      <c r="R25" s="12"/>
    </row>
    <row r="26" spans="1:18" ht="49.5" customHeight="1">
      <c r="A26" s="3">
        <f t="shared" si="0"/>
        <v>25</v>
      </c>
      <c r="B26" s="4" t="s">
        <v>2226</v>
      </c>
      <c r="C26" s="4" t="s">
        <v>180</v>
      </c>
      <c r="D26" s="4" t="s">
        <v>2227</v>
      </c>
      <c r="E26" s="4" t="s">
        <v>2228</v>
      </c>
      <c r="F26" s="4" t="s">
        <v>1048</v>
      </c>
      <c r="G26" s="4" t="s">
        <v>2229</v>
      </c>
      <c r="H26" s="4" t="s">
        <v>2230</v>
      </c>
      <c r="I26" s="7"/>
      <c r="J26" s="7"/>
      <c r="K26" s="7"/>
      <c r="L26" s="81"/>
      <c r="M26" s="12"/>
      <c r="N26" s="12"/>
      <c r="O26" s="12"/>
      <c r="P26" s="12"/>
      <c r="Q26" s="12"/>
      <c r="R26" s="12"/>
    </row>
    <row r="27" spans="1:18" ht="49.5" customHeight="1">
      <c r="A27" s="3">
        <f t="shared" si="0"/>
        <v>26</v>
      </c>
      <c r="B27" s="4" t="s">
        <v>2231</v>
      </c>
      <c r="C27" s="4" t="s">
        <v>180</v>
      </c>
      <c r="D27" s="4" t="s">
        <v>2232</v>
      </c>
      <c r="E27" s="4" t="s">
        <v>2233</v>
      </c>
      <c r="F27" s="4" t="s">
        <v>2234</v>
      </c>
      <c r="G27" s="4" t="s">
        <v>2235</v>
      </c>
      <c r="H27" s="4" t="s">
        <v>2236</v>
      </c>
      <c r="I27" s="7"/>
      <c r="J27" s="7"/>
      <c r="K27" s="7"/>
      <c r="L27" s="81"/>
      <c r="M27" s="12"/>
      <c r="N27" s="12"/>
      <c r="O27" s="12"/>
      <c r="P27" s="12"/>
      <c r="Q27" s="12"/>
      <c r="R27" s="12"/>
    </row>
    <row r="28" spans="1:18" ht="49.5" customHeight="1">
      <c r="A28" s="3">
        <f t="shared" si="0"/>
        <v>27</v>
      </c>
      <c r="B28" s="4" t="s">
        <v>2237</v>
      </c>
      <c r="C28" s="4" t="s">
        <v>180</v>
      </c>
      <c r="D28" s="4" t="s">
        <v>2238</v>
      </c>
      <c r="E28" s="4" t="s">
        <v>2239</v>
      </c>
      <c r="F28" s="4" t="s">
        <v>2240</v>
      </c>
      <c r="G28" s="4" t="s">
        <v>2241</v>
      </c>
      <c r="H28" s="4" t="s">
        <v>2242</v>
      </c>
      <c r="I28" s="7"/>
      <c r="J28" s="7"/>
      <c r="K28" s="7"/>
      <c r="L28" s="81"/>
      <c r="M28" s="12"/>
      <c r="N28" s="12"/>
      <c r="O28" s="12"/>
      <c r="P28" s="12"/>
      <c r="Q28" s="12"/>
      <c r="R28" s="12"/>
    </row>
    <row r="29" spans="1:18" ht="49.5" customHeight="1">
      <c r="A29" s="3">
        <f t="shared" si="0"/>
        <v>28</v>
      </c>
      <c r="B29" s="4" t="s">
        <v>2243</v>
      </c>
      <c r="C29" s="4" t="s">
        <v>180</v>
      </c>
      <c r="D29" s="4" t="s">
        <v>2244</v>
      </c>
      <c r="E29" s="4" t="s">
        <v>2245</v>
      </c>
      <c r="F29" s="4" t="s">
        <v>2246</v>
      </c>
      <c r="G29" s="4" t="s">
        <v>2247</v>
      </c>
      <c r="H29" s="4" t="s">
        <v>2248</v>
      </c>
      <c r="I29" s="7"/>
      <c r="J29" s="7"/>
      <c r="K29" s="7"/>
      <c r="L29" s="81"/>
      <c r="M29" s="12"/>
      <c r="N29" s="12"/>
      <c r="O29" s="12"/>
      <c r="P29" s="12"/>
      <c r="Q29" s="12"/>
      <c r="R29" s="12"/>
    </row>
    <row r="30" spans="1:18" ht="49.5" customHeight="1">
      <c r="A30" s="3">
        <f t="shared" si="0"/>
        <v>29</v>
      </c>
      <c r="B30" s="4" t="s">
        <v>2249</v>
      </c>
      <c r="C30" s="4" t="s">
        <v>180</v>
      </c>
      <c r="D30" s="4" t="s">
        <v>2250</v>
      </c>
      <c r="E30" s="4" t="s">
        <v>2251</v>
      </c>
      <c r="F30" s="4" t="s">
        <v>2252</v>
      </c>
      <c r="G30" s="4" t="s">
        <v>2253</v>
      </c>
      <c r="H30" s="4" t="s">
        <v>2254</v>
      </c>
      <c r="I30" s="7"/>
      <c r="J30" s="7"/>
      <c r="K30" s="7"/>
      <c r="L30" s="81"/>
      <c r="M30" s="12"/>
      <c r="N30" s="12"/>
      <c r="O30" s="12"/>
      <c r="P30" s="12"/>
      <c r="Q30" s="12"/>
      <c r="R30" s="12"/>
    </row>
    <row r="31" spans="1:18" ht="49.5" customHeight="1">
      <c r="A31" s="3">
        <f t="shared" si="0"/>
        <v>30</v>
      </c>
      <c r="B31" s="4" t="s">
        <v>2255</v>
      </c>
      <c r="C31" s="4" t="s">
        <v>180</v>
      </c>
      <c r="D31" s="4" t="s">
        <v>2256</v>
      </c>
      <c r="E31" s="4" t="s">
        <v>2257</v>
      </c>
      <c r="F31" s="4" t="s">
        <v>847</v>
      </c>
      <c r="G31" s="4" t="s">
        <v>2258</v>
      </c>
      <c r="H31" s="4" t="s">
        <v>2259</v>
      </c>
      <c r="I31" s="7"/>
      <c r="J31" s="7"/>
      <c r="K31" s="7"/>
      <c r="L31" s="81"/>
      <c r="M31" s="12"/>
      <c r="N31" s="12"/>
      <c r="O31" s="12"/>
      <c r="P31" s="12"/>
      <c r="Q31" s="12"/>
      <c r="R3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CF1B-AEA0-495F-9815-5C08DCBDD9AB}">
  <dimension ref="A1:R31"/>
  <sheetViews>
    <sheetView workbookViewId="0">
      <selection activeCell="M32" sqref="M32"/>
    </sheetView>
  </sheetViews>
  <sheetFormatPr defaultRowHeight="56.1" customHeight="1"/>
  <cols>
    <col min="2" max="2" width="15.85546875" customWidth="1"/>
    <col min="3" max="3" width="16.5703125" customWidth="1"/>
    <col min="4" max="4" width="18.5703125" customWidth="1"/>
    <col min="5" max="5" width="18.140625" customWidth="1"/>
    <col min="6" max="6" width="13.28515625" customWidth="1"/>
    <col min="7" max="7" width="43.85546875" customWidth="1"/>
    <col min="8" max="8" width="26.140625" customWidth="1"/>
    <col min="9" max="9" width="20.7109375" customWidth="1"/>
    <col min="11" max="11" width="26.5703125" customWidth="1"/>
    <col min="12" max="12" width="24.140625" customWidth="1"/>
    <col min="13" max="13" width="18.5703125" customWidth="1"/>
    <col min="14" max="14" width="20" customWidth="1"/>
    <col min="15" max="15" width="18.28515625" customWidth="1"/>
    <col min="16" max="16" width="19.140625" customWidth="1"/>
    <col min="17" max="17" width="18.7109375" customWidth="1"/>
    <col min="18" max="18" width="20" customWidth="1"/>
  </cols>
  <sheetData>
    <row r="1" spans="1:18" ht="56.1" customHeight="1">
      <c r="A1" s="1" t="s">
        <v>48</v>
      </c>
      <c r="B1" s="2" t="s">
        <v>49</v>
      </c>
      <c r="C1" s="2" t="s">
        <v>50</v>
      </c>
      <c r="D1" s="2" t="s">
        <v>16</v>
      </c>
      <c r="E1" s="2" t="s">
        <v>52</v>
      </c>
      <c r="F1" s="2" t="s">
        <v>53</v>
      </c>
      <c r="G1" s="2" t="s">
        <v>54</v>
      </c>
      <c r="H1" s="2" t="s">
        <v>55</v>
      </c>
      <c r="I1" s="2" t="s">
        <v>56</v>
      </c>
      <c r="J1" s="2" t="s">
        <v>57</v>
      </c>
      <c r="K1" s="2" t="s">
        <v>58</v>
      </c>
      <c r="L1" s="2" t="s">
        <v>59</v>
      </c>
      <c r="M1" s="82" t="s">
        <v>60</v>
      </c>
      <c r="N1" s="82" t="s">
        <v>61</v>
      </c>
      <c r="O1" s="82" t="s">
        <v>62</v>
      </c>
      <c r="P1" s="82" t="s">
        <v>63</v>
      </c>
      <c r="Q1" s="82" t="s">
        <v>64</v>
      </c>
      <c r="R1" s="82" t="s">
        <v>46</v>
      </c>
    </row>
    <row r="2" spans="1:18" ht="56.1" customHeight="1">
      <c r="A2" s="3">
        <v>1</v>
      </c>
      <c r="B2" s="4" t="s">
        <v>2260</v>
      </c>
      <c r="C2" s="4" t="s">
        <v>2261</v>
      </c>
      <c r="D2" s="4" t="s">
        <v>2262</v>
      </c>
      <c r="E2" s="4" t="s">
        <v>1002</v>
      </c>
      <c r="F2" s="4" t="s">
        <v>744</v>
      </c>
      <c r="G2" s="4" t="s">
        <v>2263</v>
      </c>
      <c r="H2" s="4" t="s">
        <v>2264</v>
      </c>
      <c r="I2" s="7"/>
      <c r="J2" s="7"/>
      <c r="K2" s="7"/>
      <c r="L2" s="81"/>
      <c r="M2" s="12"/>
      <c r="N2" s="12"/>
      <c r="O2" s="12"/>
      <c r="P2" s="12"/>
      <c r="Q2" s="12"/>
      <c r="R2" s="12"/>
    </row>
    <row r="3" spans="1:18" ht="56.1" customHeight="1">
      <c r="A3" s="3">
        <f>1+A2</f>
        <v>2</v>
      </c>
      <c r="B3" s="4" t="s">
        <v>2265</v>
      </c>
      <c r="C3" s="4" t="s">
        <v>2261</v>
      </c>
      <c r="D3" s="4" t="s">
        <v>2266</v>
      </c>
      <c r="E3" s="4" t="s">
        <v>996</v>
      </c>
      <c r="F3" s="4" t="s">
        <v>744</v>
      </c>
      <c r="G3" s="4" t="s">
        <v>2267</v>
      </c>
      <c r="H3" s="4" t="s">
        <v>2268</v>
      </c>
      <c r="I3" s="7"/>
      <c r="J3" s="7"/>
      <c r="K3" s="7"/>
      <c r="L3" s="81"/>
      <c r="M3" s="12"/>
      <c r="N3" s="12"/>
      <c r="O3" s="12"/>
      <c r="P3" s="12"/>
      <c r="Q3" s="12"/>
      <c r="R3" s="12"/>
    </row>
    <row r="4" spans="1:18" ht="56.1" customHeight="1">
      <c r="A4" s="3">
        <f t="shared" ref="A4:A31" si="0">1+A3</f>
        <v>3</v>
      </c>
      <c r="B4" s="4" t="s">
        <v>2269</v>
      </c>
      <c r="C4" s="4" t="s">
        <v>2261</v>
      </c>
      <c r="D4" s="4" t="s">
        <v>2270</v>
      </c>
      <c r="E4" s="4" t="s">
        <v>2271</v>
      </c>
      <c r="F4" s="4" t="s">
        <v>481</v>
      </c>
      <c r="G4" s="4" t="s">
        <v>2272</v>
      </c>
      <c r="H4" s="4" t="s">
        <v>2273</v>
      </c>
      <c r="I4" s="7"/>
      <c r="J4" s="7"/>
      <c r="K4" s="7"/>
      <c r="L4" s="81"/>
      <c r="M4" s="12"/>
      <c r="N4" s="12"/>
      <c r="O4" s="12"/>
      <c r="P4" s="12"/>
      <c r="Q4" s="12"/>
      <c r="R4" s="12"/>
    </row>
    <row r="5" spans="1:18" ht="56.1" customHeight="1">
      <c r="A5" s="3">
        <f t="shared" si="0"/>
        <v>4</v>
      </c>
      <c r="B5" s="4" t="s">
        <v>2274</v>
      </c>
      <c r="C5" s="4" t="s">
        <v>2261</v>
      </c>
      <c r="D5" s="4" t="s">
        <v>2275</v>
      </c>
      <c r="E5" s="4" t="s">
        <v>2276</v>
      </c>
      <c r="F5" s="4" t="s">
        <v>2277</v>
      </c>
      <c r="G5" s="4" t="s">
        <v>2278</v>
      </c>
      <c r="H5" s="4" t="s">
        <v>2279</v>
      </c>
      <c r="I5" s="7"/>
      <c r="J5" s="7"/>
      <c r="K5" s="7"/>
      <c r="L5" s="81"/>
      <c r="M5" s="12"/>
      <c r="N5" s="12"/>
      <c r="O5" s="12"/>
      <c r="P5" s="12"/>
      <c r="Q5" s="12"/>
      <c r="R5" s="12"/>
    </row>
    <row r="6" spans="1:18" ht="56.1" customHeight="1">
      <c r="A6" s="3">
        <f t="shared" si="0"/>
        <v>5</v>
      </c>
      <c r="B6" s="4" t="s">
        <v>2280</v>
      </c>
      <c r="C6" s="4" t="s">
        <v>2261</v>
      </c>
      <c r="D6" s="4" t="s">
        <v>2281</v>
      </c>
      <c r="E6" s="4" t="s">
        <v>2282</v>
      </c>
      <c r="F6" s="4" t="s">
        <v>847</v>
      </c>
      <c r="G6" s="4" t="s">
        <v>2283</v>
      </c>
      <c r="H6" s="4" t="s">
        <v>2284</v>
      </c>
      <c r="I6" s="7"/>
      <c r="J6" s="7"/>
      <c r="K6" s="7"/>
      <c r="L6" s="81"/>
      <c r="M6" s="12"/>
      <c r="N6" s="12"/>
      <c r="O6" s="12"/>
      <c r="P6" s="12"/>
      <c r="Q6" s="12"/>
      <c r="R6" s="12"/>
    </row>
    <row r="7" spans="1:18" ht="56.1" customHeight="1">
      <c r="A7" s="3">
        <f t="shared" si="0"/>
        <v>6</v>
      </c>
      <c r="B7" s="4" t="s">
        <v>2285</v>
      </c>
      <c r="C7" s="4" t="s">
        <v>2261</v>
      </c>
      <c r="D7" s="4" t="s">
        <v>2286</v>
      </c>
      <c r="E7" s="4" t="s">
        <v>2287</v>
      </c>
      <c r="F7" s="4" t="s">
        <v>481</v>
      </c>
      <c r="G7" s="4" t="s">
        <v>2288</v>
      </c>
      <c r="H7" s="4" t="s">
        <v>2289</v>
      </c>
      <c r="I7" s="7"/>
      <c r="J7" s="7"/>
      <c r="K7" s="7"/>
      <c r="L7" s="81"/>
      <c r="M7" s="12"/>
      <c r="N7" s="12"/>
      <c r="O7" s="12"/>
      <c r="P7" s="12"/>
      <c r="Q7" s="12"/>
      <c r="R7" s="12"/>
    </row>
    <row r="8" spans="1:18" ht="56.1" customHeight="1">
      <c r="A8" s="3">
        <f t="shared" si="0"/>
        <v>7</v>
      </c>
      <c r="B8" s="4" t="s">
        <v>2290</v>
      </c>
      <c r="C8" s="4" t="s">
        <v>2261</v>
      </c>
      <c r="D8" s="4" t="s">
        <v>2291</v>
      </c>
      <c r="E8" s="4" t="s">
        <v>2292</v>
      </c>
      <c r="F8" s="4" t="s">
        <v>906</v>
      </c>
      <c r="G8" s="4" t="s">
        <v>2293</v>
      </c>
      <c r="H8" s="4" t="s">
        <v>2294</v>
      </c>
      <c r="I8" s="7"/>
      <c r="J8" s="7"/>
      <c r="K8" s="7"/>
      <c r="L8" s="81"/>
      <c r="M8" s="12"/>
      <c r="N8" s="12"/>
      <c r="O8" s="12"/>
      <c r="P8" s="12"/>
      <c r="Q8" s="12"/>
      <c r="R8" s="12"/>
    </row>
    <row r="9" spans="1:18" ht="56.1" customHeight="1">
      <c r="A9" s="3">
        <f t="shared" si="0"/>
        <v>8</v>
      </c>
      <c r="B9" s="4" t="s">
        <v>2295</v>
      </c>
      <c r="C9" s="4" t="s">
        <v>2261</v>
      </c>
      <c r="D9" s="4" t="s">
        <v>2296</v>
      </c>
      <c r="E9" s="4" t="s">
        <v>2297</v>
      </c>
      <c r="F9" s="4" t="s">
        <v>589</v>
      </c>
      <c r="G9" s="4" t="s">
        <v>2298</v>
      </c>
      <c r="H9" s="4" t="s">
        <v>2299</v>
      </c>
      <c r="I9" s="7"/>
      <c r="J9" s="7"/>
      <c r="K9" s="7"/>
      <c r="L9" s="81"/>
      <c r="M9" s="12"/>
      <c r="N9" s="12"/>
      <c r="O9" s="12"/>
      <c r="P9" s="12"/>
      <c r="Q9" s="12"/>
      <c r="R9" s="12"/>
    </row>
    <row r="10" spans="1:18" ht="56.1" customHeight="1">
      <c r="A10" s="3">
        <f t="shared" si="0"/>
        <v>9</v>
      </c>
      <c r="B10" s="4" t="s">
        <v>2300</v>
      </c>
      <c r="C10" s="4" t="s">
        <v>2261</v>
      </c>
      <c r="D10" s="4" t="s">
        <v>2301</v>
      </c>
      <c r="E10" s="4" t="s">
        <v>2302</v>
      </c>
      <c r="F10" s="4" t="s">
        <v>2303</v>
      </c>
      <c r="G10" s="4" t="s">
        <v>2304</v>
      </c>
      <c r="H10" s="4" t="s">
        <v>2305</v>
      </c>
      <c r="I10" s="7"/>
      <c r="J10" s="7"/>
      <c r="K10" s="7"/>
      <c r="L10" s="81"/>
      <c r="M10" s="12"/>
      <c r="N10" s="12"/>
      <c r="O10" s="12"/>
      <c r="P10" s="12"/>
      <c r="Q10" s="12"/>
      <c r="R10" s="12"/>
    </row>
    <row r="11" spans="1:18" ht="56.1" customHeight="1">
      <c r="A11" s="3">
        <f t="shared" si="0"/>
        <v>10</v>
      </c>
      <c r="B11" s="4" t="s">
        <v>2306</v>
      </c>
      <c r="C11" s="4" t="s">
        <v>2261</v>
      </c>
      <c r="D11" s="4" t="s">
        <v>2307</v>
      </c>
      <c r="E11" s="4" t="s">
        <v>2308</v>
      </c>
      <c r="F11" s="4" t="s">
        <v>2309</v>
      </c>
      <c r="G11" s="4" t="s">
        <v>2310</v>
      </c>
      <c r="H11" s="4" t="s">
        <v>2311</v>
      </c>
      <c r="I11" s="7"/>
      <c r="J11" s="7"/>
      <c r="K11" s="7"/>
      <c r="L11" s="81"/>
      <c r="M11" s="12"/>
      <c r="N11" s="12"/>
      <c r="O11" s="12"/>
      <c r="P11" s="12"/>
      <c r="Q11" s="12"/>
      <c r="R11" s="12"/>
    </row>
    <row r="12" spans="1:18" ht="56.1" customHeight="1">
      <c r="A12" s="3">
        <f t="shared" si="0"/>
        <v>11</v>
      </c>
      <c r="B12" s="4" t="s">
        <v>2312</v>
      </c>
      <c r="C12" s="4" t="s">
        <v>2261</v>
      </c>
      <c r="D12" s="4" t="s">
        <v>2313</v>
      </c>
      <c r="E12" s="4" t="s">
        <v>2314</v>
      </c>
      <c r="F12" s="4" t="s">
        <v>2315</v>
      </c>
      <c r="G12" s="4" t="s">
        <v>2316</v>
      </c>
      <c r="H12" s="4" t="s">
        <v>2317</v>
      </c>
      <c r="I12" s="7"/>
      <c r="J12" s="7"/>
      <c r="K12" s="7"/>
      <c r="L12" s="81"/>
      <c r="M12" s="12"/>
      <c r="N12" s="12"/>
      <c r="O12" s="12"/>
      <c r="P12" s="12"/>
      <c r="Q12" s="12"/>
      <c r="R12" s="12"/>
    </row>
    <row r="13" spans="1:18" ht="56.1" customHeight="1">
      <c r="A13" s="3">
        <f t="shared" si="0"/>
        <v>12</v>
      </c>
      <c r="B13" s="4" t="s">
        <v>2318</v>
      </c>
      <c r="C13" s="4" t="s">
        <v>2261</v>
      </c>
      <c r="D13" s="4" t="s">
        <v>2319</v>
      </c>
      <c r="E13" s="4" t="s">
        <v>2320</v>
      </c>
      <c r="F13" s="4" t="s">
        <v>503</v>
      </c>
      <c r="G13" s="4" t="s">
        <v>2321</v>
      </c>
      <c r="H13" s="4" t="s">
        <v>2322</v>
      </c>
      <c r="I13" s="7"/>
      <c r="J13" s="7"/>
      <c r="K13" s="7"/>
      <c r="L13" s="81"/>
      <c r="M13" s="12"/>
      <c r="N13" s="12"/>
      <c r="O13" s="12"/>
      <c r="P13" s="12"/>
      <c r="Q13" s="12"/>
      <c r="R13" s="12"/>
    </row>
    <row r="14" spans="1:18" ht="56.1" customHeight="1">
      <c r="A14" s="3">
        <f t="shared" si="0"/>
        <v>13</v>
      </c>
      <c r="B14" s="4" t="s">
        <v>2323</v>
      </c>
      <c r="C14" s="4" t="s">
        <v>2261</v>
      </c>
      <c r="D14" s="4" t="s">
        <v>2324</v>
      </c>
      <c r="E14" s="4" t="s">
        <v>2325</v>
      </c>
      <c r="F14" s="4" t="s">
        <v>589</v>
      </c>
      <c r="G14" s="4" t="s">
        <v>2326</v>
      </c>
      <c r="H14" s="4" t="s">
        <v>2327</v>
      </c>
      <c r="I14" s="7"/>
      <c r="J14" s="7"/>
      <c r="K14" s="7"/>
      <c r="L14" s="81"/>
      <c r="M14" s="12"/>
      <c r="N14" s="12"/>
      <c r="O14" s="12"/>
      <c r="P14" s="12"/>
      <c r="Q14" s="12"/>
      <c r="R14" s="12"/>
    </row>
    <row r="15" spans="1:18" ht="56.1" customHeight="1">
      <c r="A15" s="3">
        <f t="shared" si="0"/>
        <v>14</v>
      </c>
      <c r="B15" s="4" t="s">
        <v>2328</v>
      </c>
      <c r="C15" s="4" t="s">
        <v>2261</v>
      </c>
      <c r="D15" s="4" t="s">
        <v>2329</v>
      </c>
      <c r="E15" s="4" t="s">
        <v>2330</v>
      </c>
      <c r="F15" s="4" t="s">
        <v>589</v>
      </c>
      <c r="G15" s="4" t="s">
        <v>2331</v>
      </c>
      <c r="H15" s="4" t="s">
        <v>2332</v>
      </c>
      <c r="I15" s="7"/>
      <c r="J15" s="7"/>
      <c r="K15" s="7"/>
      <c r="L15" s="81"/>
      <c r="M15" s="12"/>
      <c r="N15" s="12"/>
      <c r="O15" s="12"/>
      <c r="P15" s="12"/>
      <c r="Q15" s="12"/>
      <c r="R15" s="12"/>
    </row>
    <row r="16" spans="1:18" ht="56.1" customHeight="1">
      <c r="A16" s="3">
        <f t="shared" si="0"/>
        <v>15</v>
      </c>
      <c r="B16" s="4" t="s">
        <v>2333</v>
      </c>
      <c r="C16" s="4" t="s">
        <v>2261</v>
      </c>
      <c r="D16" s="4" t="s">
        <v>2334</v>
      </c>
      <c r="E16" s="4" t="s">
        <v>2335</v>
      </c>
      <c r="F16" s="4" t="s">
        <v>2336</v>
      </c>
      <c r="G16" s="4" t="s">
        <v>2337</v>
      </c>
      <c r="H16" s="4" t="s">
        <v>2338</v>
      </c>
      <c r="I16" s="7"/>
      <c r="J16" s="7"/>
      <c r="K16" s="7"/>
      <c r="L16" s="81"/>
      <c r="M16" s="12"/>
      <c r="N16" s="12"/>
      <c r="O16" s="12"/>
      <c r="P16" s="12"/>
      <c r="Q16" s="12"/>
      <c r="R16" s="12"/>
    </row>
    <row r="17" spans="1:18" ht="56.1" customHeight="1">
      <c r="A17" s="3">
        <f t="shared" si="0"/>
        <v>16</v>
      </c>
      <c r="B17" s="4" t="s">
        <v>2339</v>
      </c>
      <c r="C17" s="4" t="s">
        <v>2261</v>
      </c>
      <c r="D17" s="4" t="s">
        <v>2340</v>
      </c>
      <c r="E17" s="4" t="s">
        <v>2341</v>
      </c>
      <c r="F17" s="4" t="s">
        <v>2342</v>
      </c>
      <c r="G17" s="4" t="s">
        <v>2343</v>
      </c>
      <c r="H17" s="4" t="s">
        <v>2344</v>
      </c>
      <c r="I17" s="7"/>
      <c r="J17" s="7"/>
      <c r="K17" s="7"/>
      <c r="L17" s="81"/>
      <c r="M17" s="12"/>
      <c r="N17" s="12"/>
      <c r="O17" s="12"/>
      <c r="P17" s="12"/>
      <c r="Q17" s="12"/>
      <c r="R17" s="12"/>
    </row>
    <row r="18" spans="1:18" ht="56.1" customHeight="1">
      <c r="A18" s="3">
        <f t="shared" si="0"/>
        <v>17</v>
      </c>
      <c r="B18" s="4" t="s">
        <v>2345</v>
      </c>
      <c r="C18" s="4" t="s">
        <v>2261</v>
      </c>
      <c r="D18" s="4" t="s">
        <v>2346</v>
      </c>
      <c r="E18" s="4" t="s">
        <v>2347</v>
      </c>
      <c r="F18" s="4" t="s">
        <v>2348</v>
      </c>
      <c r="G18" s="4" t="s">
        <v>2349</v>
      </c>
      <c r="H18" s="4" t="s">
        <v>2350</v>
      </c>
      <c r="I18" s="7"/>
      <c r="J18" s="7"/>
      <c r="K18" s="7"/>
      <c r="L18" s="81"/>
      <c r="M18" s="12"/>
      <c r="N18" s="12"/>
      <c r="O18" s="12"/>
      <c r="P18" s="12"/>
      <c r="Q18" s="12"/>
      <c r="R18" s="12"/>
    </row>
    <row r="19" spans="1:18" ht="56.1" customHeight="1">
      <c r="A19" s="3">
        <f t="shared" si="0"/>
        <v>18</v>
      </c>
      <c r="B19" s="4" t="s">
        <v>2351</v>
      </c>
      <c r="C19" s="4" t="s">
        <v>2261</v>
      </c>
      <c r="D19" s="4" t="s">
        <v>2352</v>
      </c>
      <c r="E19" s="4" t="s">
        <v>2353</v>
      </c>
      <c r="F19" s="4" t="s">
        <v>589</v>
      </c>
      <c r="G19" s="4" t="s">
        <v>2354</v>
      </c>
      <c r="H19" s="4" t="s">
        <v>2355</v>
      </c>
      <c r="I19" s="7"/>
      <c r="J19" s="7"/>
      <c r="K19" s="7"/>
      <c r="L19" s="81"/>
      <c r="M19" s="12"/>
      <c r="N19" s="12"/>
      <c r="O19" s="12"/>
      <c r="P19" s="12"/>
      <c r="Q19" s="12"/>
      <c r="R19" s="12"/>
    </row>
    <row r="20" spans="1:18" ht="56.1" customHeight="1">
      <c r="A20" s="3">
        <f t="shared" si="0"/>
        <v>19</v>
      </c>
      <c r="B20" s="4" t="s">
        <v>2356</v>
      </c>
      <c r="C20" s="4" t="s">
        <v>2261</v>
      </c>
      <c r="D20" s="4" t="s">
        <v>2357</v>
      </c>
      <c r="E20" s="4" t="s">
        <v>2308</v>
      </c>
      <c r="F20" s="4" t="s">
        <v>2358</v>
      </c>
      <c r="G20" s="4" t="s">
        <v>2359</v>
      </c>
      <c r="H20" s="4" t="s">
        <v>2360</v>
      </c>
      <c r="I20" s="7"/>
      <c r="J20" s="7"/>
      <c r="K20" s="7"/>
      <c r="L20" s="81"/>
      <c r="M20" s="12"/>
      <c r="N20" s="12"/>
      <c r="O20" s="12"/>
      <c r="P20" s="12"/>
      <c r="Q20" s="12"/>
      <c r="R20" s="12"/>
    </row>
    <row r="21" spans="1:18" ht="56.1" customHeight="1">
      <c r="A21" s="3">
        <f t="shared" si="0"/>
        <v>20</v>
      </c>
      <c r="B21" s="4" t="s">
        <v>2361</v>
      </c>
      <c r="C21" s="4" t="s">
        <v>2261</v>
      </c>
      <c r="D21" s="4" t="s">
        <v>2362</v>
      </c>
      <c r="E21" s="4" t="s">
        <v>2363</v>
      </c>
      <c r="F21" s="4" t="s">
        <v>589</v>
      </c>
      <c r="G21" s="4" t="s">
        <v>2364</v>
      </c>
      <c r="H21" s="4" t="s">
        <v>2365</v>
      </c>
      <c r="I21" s="7"/>
      <c r="J21" s="7"/>
      <c r="K21" s="7"/>
      <c r="L21" s="81"/>
      <c r="M21" s="12"/>
      <c r="N21" s="12"/>
      <c r="O21" s="12"/>
      <c r="P21" s="12"/>
      <c r="Q21" s="12"/>
      <c r="R21" s="12"/>
    </row>
    <row r="22" spans="1:18" ht="56.1" customHeight="1">
      <c r="A22" s="3">
        <f t="shared" si="0"/>
        <v>21</v>
      </c>
      <c r="B22" s="4" t="s">
        <v>2366</v>
      </c>
      <c r="C22" s="4" t="s">
        <v>2261</v>
      </c>
      <c r="D22" s="4" t="s">
        <v>2367</v>
      </c>
      <c r="E22" s="4" t="s">
        <v>2368</v>
      </c>
      <c r="F22" s="4" t="s">
        <v>2369</v>
      </c>
      <c r="G22" s="4" t="s">
        <v>2370</v>
      </c>
      <c r="H22" s="4" t="s">
        <v>2371</v>
      </c>
      <c r="I22" s="7"/>
      <c r="J22" s="7"/>
      <c r="K22" s="7"/>
      <c r="L22" s="81"/>
      <c r="M22" s="12"/>
      <c r="N22" s="12"/>
      <c r="O22" s="12"/>
      <c r="P22" s="12"/>
      <c r="Q22" s="12"/>
      <c r="R22" s="12"/>
    </row>
    <row r="23" spans="1:18" ht="56.1" customHeight="1">
      <c r="A23" s="3">
        <f t="shared" si="0"/>
        <v>22</v>
      </c>
      <c r="B23" s="4" t="s">
        <v>2372</v>
      </c>
      <c r="C23" s="4" t="s">
        <v>2261</v>
      </c>
      <c r="D23" s="4" t="s">
        <v>2373</v>
      </c>
      <c r="E23" s="4" t="s">
        <v>2374</v>
      </c>
      <c r="F23" s="4" t="s">
        <v>664</v>
      </c>
      <c r="G23" s="4" t="s">
        <v>2375</v>
      </c>
      <c r="H23" s="4" t="s">
        <v>2376</v>
      </c>
      <c r="I23" s="7"/>
      <c r="J23" s="7"/>
      <c r="K23" s="7"/>
      <c r="L23" s="81"/>
      <c r="M23" s="12"/>
      <c r="N23" s="12"/>
      <c r="O23" s="12"/>
      <c r="P23" s="12"/>
      <c r="Q23" s="12"/>
      <c r="R23" s="12"/>
    </row>
    <row r="24" spans="1:18" ht="56.1" customHeight="1">
      <c r="A24" s="3">
        <f t="shared" si="0"/>
        <v>23</v>
      </c>
      <c r="B24" s="4" t="s">
        <v>2377</v>
      </c>
      <c r="C24" s="4" t="s">
        <v>2261</v>
      </c>
      <c r="D24" s="4" t="s">
        <v>2378</v>
      </c>
      <c r="E24" s="4" t="s">
        <v>2379</v>
      </c>
      <c r="F24" s="4" t="s">
        <v>2380</v>
      </c>
      <c r="G24" s="4" t="s">
        <v>2381</v>
      </c>
      <c r="H24" s="4" t="s">
        <v>2382</v>
      </c>
      <c r="I24" s="7"/>
      <c r="J24" s="7"/>
      <c r="K24" s="7"/>
      <c r="L24" s="81"/>
      <c r="M24" s="12"/>
      <c r="N24" s="12"/>
      <c r="O24" s="12"/>
      <c r="P24" s="12"/>
      <c r="Q24" s="12"/>
      <c r="R24" s="12"/>
    </row>
    <row r="25" spans="1:18" ht="56.1" customHeight="1">
      <c r="A25" s="3">
        <f t="shared" si="0"/>
        <v>24</v>
      </c>
      <c r="B25" s="4" t="s">
        <v>2383</v>
      </c>
      <c r="C25" s="4" t="s">
        <v>2261</v>
      </c>
      <c r="D25" s="4" t="s">
        <v>2384</v>
      </c>
      <c r="E25" s="4" t="s">
        <v>2385</v>
      </c>
      <c r="F25" s="4" t="s">
        <v>2386</v>
      </c>
      <c r="G25" s="4" t="s">
        <v>2387</v>
      </c>
      <c r="H25" s="4" t="s">
        <v>2388</v>
      </c>
      <c r="I25" s="7"/>
      <c r="J25" s="7"/>
      <c r="K25" s="7"/>
      <c r="L25" s="81"/>
      <c r="M25" s="12"/>
      <c r="N25" s="12"/>
      <c r="O25" s="12"/>
      <c r="P25" s="12"/>
      <c r="Q25" s="12"/>
      <c r="R25" s="12"/>
    </row>
    <row r="26" spans="1:18" ht="56.1" customHeight="1">
      <c r="A26" s="3">
        <f t="shared" si="0"/>
        <v>25</v>
      </c>
      <c r="B26" s="4" t="s">
        <v>2389</v>
      </c>
      <c r="C26" s="4" t="s">
        <v>2261</v>
      </c>
      <c r="D26" s="4" t="s">
        <v>2390</v>
      </c>
      <c r="E26" s="4" t="s">
        <v>2391</v>
      </c>
      <c r="F26" s="4" t="s">
        <v>2392</v>
      </c>
      <c r="G26" s="4" t="s">
        <v>2393</v>
      </c>
      <c r="H26" s="4" t="s">
        <v>2394</v>
      </c>
      <c r="I26" s="7"/>
      <c r="J26" s="7"/>
      <c r="K26" s="7"/>
      <c r="L26" s="81"/>
      <c r="M26" s="12"/>
      <c r="N26" s="12"/>
      <c r="O26" s="12"/>
      <c r="P26" s="12"/>
      <c r="Q26" s="12"/>
      <c r="R26" s="12"/>
    </row>
    <row r="27" spans="1:18" ht="56.1" customHeight="1">
      <c r="A27" s="3">
        <f t="shared" si="0"/>
        <v>26</v>
      </c>
      <c r="B27" s="4" t="s">
        <v>2395</v>
      </c>
      <c r="C27" s="4" t="s">
        <v>2261</v>
      </c>
      <c r="D27" s="4" t="s">
        <v>2396</v>
      </c>
      <c r="E27" s="4" t="s">
        <v>2397</v>
      </c>
      <c r="F27" s="4" t="s">
        <v>2336</v>
      </c>
      <c r="G27" s="4" t="s">
        <v>2398</v>
      </c>
      <c r="H27" s="4" t="s">
        <v>2399</v>
      </c>
      <c r="I27" s="7"/>
      <c r="J27" s="7"/>
      <c r="K27" s="7"/>
      <c r="L27" s="81"/>
      <c r="M27" s="12"/>
      <c r="N27" s="12"/>
      <c r="O27" s="12"/>
      <c r="P27" s="12"/>
      <c r="Q27" s="12"/>
      <c r="R27" s="12"/>
    </row>
    <row r="28" spans="1:18" ht="56.1" customHeight="1">
      <c r="A28" s="3">
        <f t="shared" si="0"/>
        <v>27</v>
      </c>
      <c r="B28" s="4" t="s">
        <v>2400</v>
      </c>
      <c r="C28" s="4" t="s">
        <v>2261</v>
      </c>
      <c r="D28" s="4" t="s">
        <v>2401</v>
      </c>
      <c r="E28" s="4" t="s">
        <v>2402</v>
      </c>
      <c r="F28" s="4" t="s">
        <v>589</v>
      </c>
      <c r="G28" s="4" t="s">
        <v>2403</v>
      </c>
      <c r="H28" s="4" t="s">
        <v>2404</v>
      </c>
      <c r="I28" s="7"/>
      <c r="J28" s="7"/>
      <c r="K28" s="7"/>
      <c r="L28" s="81"/>
      <c r="M28" s="12"/>
      <c r="N28" s="12"/>
      <c r="O28" s="12"/>
      <c r="P28" s="12"/>
      <c r="Q28" s="12"/>
      <c r="R28" s="12"/>
    </row>
    <row r="29" spans="1:18" ht="56.1" customHeight="1">
      <c r="A29" s="3">
        <f t="shared" si="0"/>
        <v>28</v>
      </c>
      <c r="B29" s="4" t="s">
        <v>2405</v>
      </c>
      <c r="C29" s="4" t="s">
        <v>2261</v>
      </c>
      <c r="D29" s="4" t="s">
        <v>2406</v>
      </c>
      <c r="E29" s="4" t="s">
        <v>2407</v>
      </c>
      <c r="F29" s="4" t="s">
        <v>503</v>
      </c>
      <c r="G29" s="4" t="s">
        <v>2408</v>
      </c>
      <c r="H29" s="4" t="s">
        <v>2409</v>
      </c>
      <c r="I29" s="7"/>
      <c r="J29" s="7"/>
      <c r="K29" s="7"/>
      <c r="L29" s="81"/>
      <c r="M29" s="12"/>
      <c r="N29" s="12"/>
      <c r="O29" s="12"/>
      <c r="P29" s="12"/>
      <c r="Q29" s="12"/>
      <c r="R29" s="12"/>
    </row>
    <row r="30" spans="1:18" ht="56.1" customHeight="1">
      <c r="A30" s="3">
        <f t="shared" si="0"/>
        <v>29</v>
      </c>
      <c r="B30" s="4" t="s">
        <v>2410</v>
      </c>
      <c r="C30" s="4" t="s">
        <v>2261</v>
      </c>
      <c r="D30" s="4" t="s">
        <v>2411</v>
      </c>
      <c r="E30" s="4" t="s">
        <v>2412</v>
      </c>
      <c r="F30" s="4" t="s">
        <v>589</v>
      </c>
      <c r="G30" s="4" t="s">
        <v>2413</v>
      </c>
      <c r="H30" s="4" t="s">
        <v>2414</v>
      </c>
      <c r="I30" s="7"/>
      <c r="J30" s="7"/>
      <c r="K30" s="7"/>
      <c r="L30" s="81"/>
      <c r="M30" s="12"/>
      <c r="N30" s="12"/>
      <c r="O30" s="12"/>
      <c r="P30" s="12"/>
      <c r="Q30" s="12"/>
      <c r="R30" s="12"/>
    </row>
    <row r="31" spans="1:18" ht="56.1" customHeight="1">
      <c r="A31" s="3">
        <f t="shared" si="0"/>
        <v>30</v>
      </c>
      <c r="B31" s="4" t="s">
        <v>2415</v>
      </c>
      <c r="C31" s="4" t="s">
        <v>2261</v>
      </c>
      <c r="D31" s="4" t="s">
        <v>2416</v>
      </c>
      <c r="E31" s="4" t="s">
        <v>2417</v>
      </c>
      <c r="F31" s="4" t="s">
        <v>847</v>
      </c>
      <c r="G31" s="4" t="s">
        <v>2418</v>
      </c>
      <c r="H31" s="4" t="s">
        <v>2419</v>
      </c>
      <c r="I31" s="7"/>
      <c r="J31" s="7"/>
      <c r="K31" s="7"/>
      <c r="L31" s="81"/>
      <c r="M31" s="12"/>
      <c r="N31" s="12"/>
      <c r="O31" s="12"/>
      <c r="P31" s="12"/>
      <c r="Q31" s="12"/>
      <c r="R31"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3F61-E897-4502-8827-F57E564483D1}">
  <dimension ref="C3:F4"/>
  <sheetViews>
    <sheetView workbookViewId="0">
      <selection activeCell="E5" sqref="E5"/>
    </sheetView>
  </sheetViews>
  <sheetFormatPr defaultRowHeight="15"/>
  <cols>
    <col min="3" max="3" width="31.7109375" customWidth="1"/>
    <col min="4" max="4" width="17.5703125" customWidth="1"/>
    <col min="6" max="6" width="6.7109375" bestFit="1" customWidth="1"/>
  </cols>
  <sheetData>
    <row r="3" spans="3:6">
      <c r="C3" s="11" t="s">
        <v>2420</v>
      </c>
      <c r="D3" s="12" t="s">
        <v>2421</v>
      </c>
      <c r="E3" s="12" t="s">
        <v>2422</v>
      </c>
      <c r="F3" s="12" t="s">
        <v>2423</v>
      </c>
    </row>
    <row r="4" spans="3:6">
      <c r="C4" s="13" t="s">
        <v>2424</v>
      </c>
      <c r="D4" s="12" t="s">
        <v>2425</v>
      </c>
      <c r="E4" s="12" t="s">
        <v>2426</v>
      </c>
      <c r="F4"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Akashrai Sarvesh</dc:creator>
  <cp:keywords/>
  <dc:description/>
  <cp:lastModifiedBy>Kiran Kumar Seepana</cp:lastModifiedBy>
  <cp:revision/>
  <dcterms:created xsi:type="dcterms:W3CDTF">2026-07-29T05:54:58Z</dcterms:created>
  <dcterms:modified xsi:type="dcterms:W3CDTF">2026-10-08T12:47:41Z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59e269-9c5f-4099-8773-57606129b7d5_Enabled">
    <vt:lpwstr>true</vt:lpwstr>
  </property>
  <property fmtid="{D5CDD505-2E9C-101B-9397-08002B2CF9AE}" pid="3" name="MSIP_Label_6c59e269-9c5f-4099-8773-57606129b7d5_SetDate">
    <vt:lpwstr>2026-07-29T05:56:00Z</vt:lpwstr>
  </property>
  <property fmtid="{D5CDD505-2E9C-101B-9397-08002B2CF9AE}" pid="4" name="MSIP_Label_6c59e269-9c5f-4099-8773-57606129b7d5_Method">
    <vt:lpwstr>Privileged</vt:lpwstr>
  </property>
  <property fmtid="{D5CDD505-2E9C-101B-9397-08002B2CF9AE}" pid="5" name="MSIP_Label_6c59e269-9c5f-4099-8773-57606129b7d5_Name">
    <vt:lpwstr>Internal</vt:lpwstr>
  </property>
  <property fmtid="{D5CDD505-2E9C-101B-9397-08002B2CF9AE}" pid="6" name="MSIP_Label_6c59e269-9c5f-4099-8773-57606129b7d5_SiteId">
    <vt:lpwstr>aaace049-6505-453e-94a3-c70dcacf2984</vt:lpwstr>
  </property>
  <property fmtid="{D5CDD505-2E9C-101B-9397-08002B2CF9AE}" pid="7" name="MSIP_Label_6c59e269-9c5f-4099-8773-57606129b7d5_ActionId">
    <vt:lpwstr>0e017dac-535b-4980-850d-460c587e2cab</vt:lpwstr>
  </property>
  <property fmtid="{D5CDD505-2E9C-101B-9397-08002B2CF9AE}" pid="8" name="MSIP_Label_6c59e269-9c5f-4099-8773-57606129b7d5_ContentBits">
    <vt:lpwstr>0</vt:lpwstr>
  </property>
  <property fmtid="{D5CDD505-2E9C-101B-9397-08002B2CF9AE}" pid="9" name="MSIP_Label_6c59e269-9c5f-4099-8773-57606129b7d5_Tag">
    <vt:lpwstr>10, 0, 1, 1</vt:lpwstr>
  </property>
</Properties>
</file>