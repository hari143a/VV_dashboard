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nutreco1.sharepoint.com/sites/ProductDesign/Shared Documents/Product Engineering/PE_Tracker/"/>
    </mc:Choice>
  </mc:AlternateContent>
  <xr:revisionPtr revIDLastSave="0" documentId="8_{70FBDE81-E981-4D6F-A42E-7D28A214AADF}" xr6:coauthVersionLast="47" xr6:coauthVersionMax="47" xr10:uidLastSave="{00000000-0000-0000-0000-000000000000}"/>
  <bookViews>
    <workbookView xWindow="-28920" yWindow="-2760" windowWidth="29040" windowHeight="15720" firstSheet="4" activeTab="4" xr2:uid="{00000000-000D-0000-FFFF-FFFF00000000}"/>
  </bookViews>
  <sheets>
    <sheet name="Cover" sheetId="5" state="hidden" r:id="rId1"/>
    <sheet name="Dashboard" sheetId="6" r:id="rId2"/>
    <sheet name="Project Team" sheetId="4" r:id="rId3"/>
    <sheet name="FF_2026_Ref_Backup" sheetId="8" state="hidden" r:id="rId4"/>
    <sheet name="FF_2026" sheetId="1" r:id="rId5"/>
    <sheet name="RACI Matrix" sheetId="2" state="hidden" r:id="rId6"/>
    <sheet name="Timeline" sheetId="3" state="hidden" r:id="rId7"/>
  </sheets>
  <definedNames>
    <definedName name="_xlnm._FilterDatabase" localSheetId="4" hidden="1">FF_2026!$A$2:$BE$108</definedName>
    <definedName name="_xlnm._FilterDatabase" localSheetId="3" hidden="1">FF_2026_Ref_Backup!$A$2:$BC$2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2" i="1" l="1"/>
  <c r="AK72" i="1" s="1"/>
  <c r="AI67" i="1"/>
  <c r="AK67" i="1" s="1"/>
  <c r="AI66" i="1"/>
  <c r="AK66" i="1" s="1"/>
  <c r="AI62" i="1"/>
  <c r="AI60" i="1"/>
  <c r="AI59" i="1"/>
  <c r="AK59" i="1" s="1"/>
  <c r="AI58" i="1"/>
  <c r="AK58" i="1" s="1"/>
  <c r="AI57" i="1"/>
  <c r="AK57" i="1" s="1"/>
  <c r="AI56" i="1"/>
  <c r="AI55" i="1"/>
  <c r="AI54" i="1"/>
  <c r="AK54" i="1" s="1"/>
  <c r="AI53" i="1"/>
  <c r="AK53" i="1" s="1"/>
  <c r="AI50" i="1"/>
  <c r="AK50" i="1" s="1"/>
  <c r="AI46" i="1"/>
  <c r="AI45" i="1"/>
  <c r="AK45" i="1" s="1"/>
  <c r="AI44" i="1"/>
  <c r="AK44" i="1" s="1"/>
  <c r="AI43" i="1"/>
  <c r="AK43" i="1" s="1"/>
  <c r="AI23" i="1"/>
  <c r="AI61" i="1"/>
  <c r="AK61" i="1" s="1"/>
  <c r="AK62" i="1"/>
  <c r="AK24" i="1"/>
  <c r="AK25" i="1"/>
  <c r="AK26" i="1"/>
  <c r="AK27" i="1"/>
  <c r="AK28" i="1"/>
  <c r="AK29" i="1"/>
  <c r="AK30" i="1"/>
  <c r="AK31" i="1"/>
  <c r="AK32" i="1"/>
  <c r="AK33" i="1"/>
  <c r="AK34" i="1"/>
  <c r="AK35" i="1"/>
  <c r="AK36" i="1"/>
  <c r="AK37" i="1"/>
  <c r="AK38" i="1"/>
  <c r="AK39" i="1"/>
  <c r="AK40" i="1"/>
  <c r="AK41" i="1"/>
  <c r="AK42" i="1"/>
  <c r="AK47" i="1"/>
  <c r="AK48" i="1"/>
  <c r="AK49" i="1"/>
  <c r="AK51" i="1"/>
  <c r="AK52" i="1"/>
  <c r="AK63" i="1"/>
  <c r="AK64" i="1"/>
  <c r="AK65" i="1"/>
  <c r="AK68" i="1"/>
  <c r="AK69" i="1"/>
  <c r="AK70" i="1"/>
  <c r="AK71"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3" i="1"/>
  <c r="AK4" i="1"/>
  <c r="AK5" i="1"/>
  <c r="AK6" i="1"/>
  <c r="AK7" i="1"/>
  <c r="AK8" i="1"/>
  <c r="AK9" i="1"/>
  <c r="AK10" i="1"/>
  <c r="AK11" i="1"/>
  <c r="AK12" i="1"/>
  <c r="AK13" i="1"/>
  <c r="AK14" i="1"/>
  <c r="AK15" i="1"/>
  <c r="AK16" i="1"/>
  <c r="AK17" i="1"/>
  <c r="AK18" i="1"/>
  <c r="AK19" i="1"/>
  <c r="AK20" i="1"/>
  <c r="AK21" i="1"/>
  <c r="AK22" i="1"/>
  <c r="S23" i="1"/>
  <c r="AB23" i="1"/>
  <c r="AK23" i="1"/>
  <c r="B14" i="6"/>
  <c r="C14" i="6"/>
  <c r="B16" i="6"/>
  <c r="G5" i="6"/>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2" i="1"/>
  <c r="T71"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3" i="1"/>
  <c r="T4" i="1"/>
  <c r="T5" i="1"/>
  <c r="T6" i="1"/>
  <c r="T7" i="1"/>
  <c r="T8" i="1"/>
  <c r="T9" i="1"/>
  <c r="T10" i="1"/>
  <c r="T11" i="1"/>
  <c r="T12" i="1"/>
  <c r="T13" i="1"/>
  <c r="T14" i="1"/>
  <c r="T15" i="1"/>
  <c r="T16" i="1"/>
  <c r="T17" i="1"/>
  <c r="T18" i="1"/>
  <c r="T19" i="1"/>
  <c r="T20" i="1"/>
  <c r="T21" i="1"/>
  <c r="T22" i="1"/>
  <c r="S4" i="1"/>
  <c r="S5" i="1"/>
  <c r="S6" i="1"/>
  <c r="S7" i="1"/>
  <c r="S8" i="1"/>
  <c r="S9" i="1"/>
  <c r="S10" i="1"/>
  <c r="S11" i="1"/>
  <c r="S12" i="1"/>
  <c r="S13" i="1"/>
  <c r="S14" i="1"/>
  <c r="S15" i="1"/>
  <c r="S16" i="1"/>
  <c r="S17" i="1"/>
  <c r="S18" i="1"/>
  <c r="S19" i="1"/>
  <c r="S20" i="1"/>
  <c r="S21" i="1"/>
  <c r="S22"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2" i="1"/>
  <c r="S71"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2" i="1"/>
  <c r="P71"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3" i="1"/>
  <c r="K47" i="1"/>
  <c r="K38" i="1"/>
  <c r="K37" i="1"/>
  <c r="K22" i="1"/>
  <c r="K11" i="1"/>
  <c r="K10" i="1"/>
  <c r="K9" i="1"/>
  <c r="K8" i="1"/>
  <c r="AK60" i="1"/>
  <c r="AK56" i="1"/>
  <c r="AK55" i="1"/>
  <c r="AK46" i="1"/>
  <c r="T23" i="1"/>
  <c r="AI21" i="8"/>
  <c r="AF21" i="8"/>
  <c r="S21" i="8"/>
  <c r="R21" i="8"/>
  <c r="O21" i="8"/>
  <c r="AI20" i="8"/>
  <c r="AF20" i="8"/>
  <c r="S20" i="8"/>
  <c r="R20" i="8"/>
  <c r="O20" i="8"/>
  <c r="AI19" i="8"/>
  <c r="AF19" i="8"/>
  <c r="S19" i="8"/>
  <c r="R19" i="8"/>
  <c r="O19" i="8"/>
  <c r="AI18" i="8"/>
  <c r="AF18" i="8"/>
  <c r="S18" i="8"/>
  <c r="R18" i="8"/>
  <c r="O18" i="8"/>
  <c r="AI17" i="8"/>
  <c r="AF17" i="8"/>
  <c r="S17" i="8"/>
  <c r="R17" i="8"/>
  <c r="O17" i="8"/>
  <c r="AI16" i="8"/>
  <c r="AF16" i="8"/>
  <c r="S16" i="8"/>
  <c r="R16" i="8"/>
  <c r="O16" i="8"/>
  <c r="AI15" i="8"/>
  <c r="AF15" i="8"/>
  <c r="S15" i="8"/>
  <c r="R15" i="8"/>
  <c r="O15" i="8"/>
  <c r="AI14" i="8"/>
  <c r="AF14" i="8"/>
  <c r="S14" i="8"/>
  <c r="R14" i="8"/>
  <c r="O14" i="8"/>
  <c r="AI13" i="8"/>
  <c r="AF13" i="8"/>
  <c r="S13" i="8"/>
  <c r="R13" i="8"/>
  <c r="O13" i="8"/>
  <c r="AI12" i="8"/>
  <c r="AF12" i="8"/>
  <c r="S12" i="8"/>
  <c r="R12" i="8"/>
  <c r="O12" i="8"/>
  <c r="AI11" i="8"/>
  <c r="AF11" i="8"/>
  <c r="S11" i="8"/>
  <c r="R11" i="8"/>
  <c r="O11" i="8"/>
  <c r="AI10" i="8"/>
  <c r="AF10" i="8"/>
  <c r="S10" i="8"/>
  <c r="R10" i="8"/>
  <c r="O10" i="8"/>
  <c r="AI9" i="8"/>
  <c r="AF9" i="8"/>
  <c r="S9" i="8"/>
  <c r="R9" i="8"/>
  <c r="O9" i="8"/>
  <c r="AI8" i="8"/>
  <c r="AF8" i="8"/>
  <c r="S8" i="8"/>
  <c r="R8" i="8"/>
  <c r="O8" i="8"/>
  <c r="AI7" i="8"/>
  <c r="AF7" i="8"/>
  <c r="S7" i="8"/>
  <c r="R7" i="8"/>
  <c r="O7" i="8"/>
  <c r="AI6" i="8"/>
  <c r="AF6" i="8"/>
  <c r="S6" i="8"/>
  <c r="R6" i="8"/>
  <c r="O6" i="8"/>
  <c r="AI5" i="8"/>
  <c r="AF5" i="8"/>
  <c r="S5" i="8"/>
  <c r="R5" i="8"/>
  <c r="O5" i="8"/>
  <c r="AI4" i="8"/>
  <c r="AF4" i="8"/>
  <c r="S4" i="8"/>
  <c r="R4" i="8"/>
  <c r="O4" i="8"/>
  <c r="AI3" i="8"/>
  <c r="AF3" i="8"/>
  <c r="S3" i="8"/>
  <c r="R3" i="8"/>
  <c r="O3" i="8"/>
  <c r="P5" i="6"/>
  <c r="C48" i="6"/>
  <c r="C47" i="6"/>
  <c r="C46" i="6"/>
  <c r="C45" i="6"/>
  <c r="C44" i="6"/>
  <c r="C43" i="6"/>
  <c r="B48" i="6"/>
  <c r="B47" i="6"/>
  <c r="B46" i="6"/>
  <c r="B45" i="6"/>
  <c r="B44" i="6"/>
  <c r="B43" i="6"/>
  <c r="C42" i="6"/>
  <c r="B42" i="6"/>
  <c r="C41" i="6"/>
  <c r="C40" i="6"/>
  <c r="C39" i="6"/>
  <c r="C38" i="6"/>
  <c r="C37" i="6"/>
  <c r="C36" i="6"/>
  <c r="B41" i="6"/>
  <c r="B40" i="6"/>
  <c r="B39" i="6"/>
  <c r="B38" i="6"/>
  <c r="B37" i="6"/>
  <c r="B36" i="6"/>
  <c r="C35" i="6"/>
  <c r="C34" i="6"/>
  <c r="C33" i="6"/>
  <c r="C32" i="6"/>
  <c r="C31" i="6"/>
  <c r="B35" i="6"/>
  <c r="B34" i="6"/>
  <c r="B33" i="6"/>
  <c r="B32" i="6"/>
  <c r="B31" i="6"/>
  <c r="B30" i="6"/>
  <c r="J5" i="6"/>
  <c r="D48" i="6" l="1"/>
  <c r="D43" i="6"/>
  <c r="D31" i="6"/>
  <c r="D44" i="6"/>
  <c r="D37" i="6"/>
  <c r="D36" i="6"/>
  <c r="D38" i="6"/>
  <c r="D47" i="6"/>
  <c r="M5" i="6"/>
  <c r="D33" i="6"/>
  <c r="D35" i="6"/>
  <c r="D39" i="6"/>
  <c r="D41" i="6"/>
  <c r="D40" i="6"/>
  <c r="D42" i="6"/>
  <c r="D46" i="6"/>
  <c r="D45" i="6"/>
  <c r="D32" i="6"/>
  <c r="D34" i="6"/>
  <c r="D14" i="6"/>
  <c r="C16" i="6"/>
  <c r="C18" i="6"/>
  <c r="C20" i="6"/>
  <c r="C22" i="6"/>
  <c r="C24" i="6"/>
  <c r="B18" i="6"/>
  <c r="B20" i="6"/>
  <c r="B22" i="6"/>
  <c r="B24" i="6"/>
  <c r="D5" i="6"/>
  <c r="C30" i="6" s="1"/>
  <c r="D30" i="6" s="1"/>
  <c r="A2" i="6"/>
  <c r="G3" i="3"/>
  <c r="K3" i="3" s="1"/>
  <c r="L7" i="3"/>
  <c r="L6" i="3"/>
  <c r="L5" i="3"/>
  <c r="L4" i="3"/>
  <c r="L2" i="3"/>
  <c r="K4" i="3"/>
  <c r="K5" i="3"/>
  <c r="K6" i="3"/>
  <c r="K7" i="3"/>
  <c r="K2" i="3"/>
  <c r="J4" i="3"/>
  <c r="J5" i="3"/>
  <c r="J6" i="3"/>
  <c r="J7" i="3"/>
  <c r="J2" i="3"/>
  <c r="A5" i="6" l="1"/>
  <c r="D22" i="6"/>
  <c r="D20" i="6"/>
  <c r="J3" i="3"/>
  <c r="L3" i="3"/>
  <c r="D24" i="6"/>
  <c r="D16" i="6"/>
  <c r="D18" i="6"/>
  <c r="A9" i="6" l="1"/>
</calcChain>
</file>

<file path=xl/sharedStrings.xml><?xml version="1.0" encoding="utf-8"?>
<sst xmlns="http://schemas.openxmlformats.org/spreadsheetml/2006/main" count="1316" uniqueCount="376">
  <si>
    <t>Fish Feeder 2026 Readiness Tracker</t>
  </si>
  <si>
    <t>Project governance, readiness progress and execution status</t>
  </si>
  <si>
    <t>CONTENTS</t>
  </si>
  <si>
    <t>PURPOSE</t>
  </si>
  <si>
    <t>Dashboard</t>
  </si>
  <si>
    <t>Executive view of overall progress, stage completion and priority actions</t>
  </si>
  <si>
    <t>Project Team</t>
  </si>
  <si>
    <t>Department owners for the Fish Feeder program</t>
  </si>
  <si>
    <t>FF_2026</t>
  </si>
  <si>
    <t>Detailed part-level readiness tracker and milestone dates</t>
  </si>
  <si>
    <t>RACI Matrix</t>
  </si>
  <si>
    <t>Responsibility and accountability by readiness stage</t>
  </si>
  <si>
    <t>Timeline</t>
  </si>
  <si>
    <t>Program stage targets, dependencies and schedule status</t>
  </si>
  <si>
    <t>Fish Feeder 2026 — Readiness Dashboard</t>
  </si>
  <si>
    <t>OVERALL PROGRESS</t>
  </si>
  <si>
    <t>TRACKED PARTS</t>
  </si>
  <si>
    <t>MECH PARTS</t>
  </si>
  <si>
    <t>HW PARTS</t>
  </si>
  <si>
    <t>PARTS WITH DELAY</t>
  </si>
  <si>
    <t>NEXT SOURCING TARGET</t>
  </si>
  <si>
    <t>STORY IN BRIEF</t>
  </si>
  <si>
    <t>READINESS STAGE PROGRESS</t>
  </si>
  <si>
    <t>Readiness Stage</t>
  </si>
  <si>
    <t>Completed</t>
  </si>
  <si>
    <t>Total</t>
  </si>
  <si>
    <t>Progress</t>
  </si>
  <si>
    <t>Design Readiness</t>
  </si>
  <si>
    <t>Part Qualification</t>
  </si>
  <si>
    <t>Sourcing Readiness</t>
  </si>
  <si>
    <t>Supplier Qualification</t>
  </si>
  <si>
    <t>Sample / Lot Procurement</t>
  </si>
  <si>
    <t>Factory Handover</t>
  </si>
  <si>
    <t>PARTS BY FUNCTION &amp; CATEGORY — MATURITY PROGRESS</t>
  </si>
  <si>
    <t>Group</t>
  </si>
  <si>
    <t>≥90% Maturity</t>
  </si>
  <si>
    <t>ALL PARTS</t>
  </si>
  <si>
    <t>New - Critical</t>
  </si>
  <si>
    <t>New - Regular</t>
  </si>
  <si>
    <t>Carryover - Critical</t>
  </si>
  <si>
    <t>Carryover - Regular</t>
  </si>
  <si>
    <t>Not Specified</t>
  </si>
  <si>
    <t>MECH</t>
  </si>
  <si>
    <t>HW</t>
  </si>
  <si>
    <t>FUNCTION NOT SPECIFIED</t>
  </si>
  <si>
    <t>PRIORITY ACTIONS</t>
  </si>
  <si>
    <t>Priority</t>
  </si>
  <si>
    <t>Action</t>
  </si>
  <si>
    <t>1 — New Critical</t>
  </si>
  <si>
    <t>New part with high complexity, longer sourcing lead time, higher qualification requirements, or other critical factors.</t>
  </si>
  <si>
    <t>2 — New Regular</t>
  </si>
  <si>
    <t>New part with lower complexity, shorter sourcing lead time, and relatively straightforward qualification requirements.</t>
  </si>
  <si>
    <t>3 — Carryover Critical</t>
  </si>
  <si>
    <t>Existing/carryover part with high complexity, longer sourcing lead time, higher qualification requirements, or other critical factors.</t>
  </si>
  <si>
    <t>4 — Carryover Regular</t>
  </si>
  <si>
    <t>Existing/carryover part with lower complexity, shorter sourcing lead time, and relatively straightforward qualification requirements.</t>
  </si>
  <si>
    <t>Department</t>
  </si>
  <si>
    <t>Fish Feeder</t>
  </si>
  <si>
    <t>Product Engineering</t>
  </si>
  <si>
    <t>Mallesha</t>
  </si>
  <si>
    <t>Design</t>
  </si>
  <si>
    <t>Ravindra Namburi</t>
  </si>
  <si>
    <t>Pavan K</t>
  </si>
  <si>
    <t>FW</t>
  </si>
  <si>
    <t>Prem</t>
  </si>
  <si>
    <t>Procurement</t>
  </si>
  <si>
    <t>Ravindra Kolla</t>
  </si>
  <si>
    <t>Quality</t>
  </si>
  <si>
    <t>Jeyamurgan</t>
  </si>
  <si>
    <t>Production</t>
  </si>
  <si>
    <t>Venu</t>
  </si>
  <si>
    <t>Customer Success</t>
  </si>
  <si>
    <t>Pavan N</t>
  </si>
  <si>
    <t>V&amp;V</t>
  </si>
  <si>
    <t>Kiran</t>
  </si>
  <si>
    <t>Part Qualification Readiness</t>
  </si>
  <si>
    <t>Sample / Lot  Procurement</t>
  </si>
  <si>
    <t>Factory Handover Rediness</t>
  </si>
  <si>
    <t>Sl.No</t>
  </si>
  <si>
    <t>PE Kick-off Date</t>
  </si>
  <si>
    <t>Part Number</t>
  </si>
  <si>
    <t>Part Discription</t>
  </si>
  <si>
    <t>Part Type</t>
  </si>
  <si>
    <t>Part Category</t>
  </si>
  <si>
    <t>Part Function</t>
  </si>
  <si>
    <t>BOM Rev. No</t>
  </si>
  <si>
    <t>Rev. No</t>
  </si>
  <si>
    <t>Qty</t>
  </si>
  <si>
    <t>Design Readiness Planned</t>
  </si>
  <si>
    <t>Design Readiness Actual</t>
  </si>
  <si>
    <t>Maturity %</t>
  </si>
  <si>
    <t>Doc. Rec'd</t>
  </si>
  <si>
    <t>Status (Days)</t>
  </si>
  <si>
    <t>PE Verif. Planned</t>
  </si>
  <si>
    <t>PE Verif. Actual</t>
  </si>
  <si>
    <t>Ready for PQ</t>
  </si>
  <si>
    <t>Drawing / Spec to SCM</t>
  </si>
  <si>
    <t>Sourcing Target Date</t>
  </si>
  <si>
    <t>Comments/ Remarks</t>
  </si>
  <si>
    <t>Drawing / Spec to Vendors</t>
  </si>
  <si>
    <t>Vendors Identification Planned</t>
  </si>
  <si>
    <t>Vendors Identification Actual</t>
  </si>
  <si>
    <t>RFQ released</t>
  </si>
  <si>
    <t>Technical queries closure</t>
  </si>
  <si>
    <t>Quotations received</t>
  </si>
  <si>
    <t>Vendor Finalization ((ToCo,)</t>
  </si>
  <si>
    <t>Sample  size</t>
  </si>
  <si>
    <t>Lead Time Type</t>
  </si>
  <si>
    <t>Lead time confirmation Planned</t>
  </si>
  <si>
    <t>Lead time confirmation Actual</t>
  </si>
  <si>
    <t>Release of PO</t>
  </si>
  <si>
    <t>Remarks/ Comments</t>
  </si>
  <si>
    <t>Vendor visit Required</t>
  </si>
  <si>
    <t>PPAP/FAI (if applicable)</t>
  </si>
  <si>
    <t>Sample approval</t>
  </si>
  <si>
    <t>Quality &amp; MF agreements</t>
  </si>
  <si>
    <t>Samplet dispatch</t>
  </si>
  <si>
    <t>Sample  receipt</t>
  </si>
  <si>
    <t>QA (CFT)</t>
  </si>
  <si>
    <t>Distpacth Sample to Design</t>
  </si>
  <si>
    <t>Check Form &amp; Fit</t>
  </si>
  <si>
    <t>Testing</t>
  </si>
  <si>
    <t>Open Issues</t>
  </si>
  <si>
    <t>Design Changes</t>
  </si>
  <si>
    <t>BOM revision updates</t>
  </si>
  <si>
    <t>Part Qualification Required</t>
  </si>
  <si>
    <t xml:space="preserve"> Part Approval</t>
  </si>
  <si>
    <t>TBA</t>
  </si>
  <si>
    <t>H- Plate</t>
  </si>
  <si>
    <t>New</t>
  </si>
  <si>
    <t>Mech</t>
  </si>
  <si>
    <t>Yes</t>
  </si>
  <si>
    <t>Feedback from the Supplier  - Jig/fixtures needed after samples finalisation before production they will make ready</t>
  </si>
  <si>
    <t>Medium</t>
  </si>
  <si>
    <t>26th for approval submission</t>
  </si>
  <si>
    <t>Vertical Doser &amp; Dispenser Structure</t>
  </si>
  <si>
    <t>A</t>
  </si>
  <si>
    <t>Vertical Doser top plate</t>
  </si>
  <si>
    <t>Vertical Doser bottom plate</t>
  </si>
  <si>
    <t xml:space="preserve">Vertical doser Side Support </t>
  </si>
  <si>
    <t>Doser case</t>
  </si>
  <si>
    <t>Low</t>
  </si>
  <si>
    <r>
      <rPr>
        <b/>
        <sz val="11"/>
        <color rgb="FF000000"/>
        <rFont val="Calibri"/>
        <family val="2"/>
      </rPr>
      <t>Visit Plan:</t>
    </r>
    <r>
      <rPr>
        <sz val="11"/>
        <color rgb="FF000000"/>
        <rFont val="Calibri"/>
        <family val="2"/>
      </rPr>
      <t xml:space="preserve"> 21–23 Sep;
</t>
    </r>
    <r>
      <rPr>
        <b/>
        <sz val="11"/>
        <color rgb="FF000000"/>
        <rFont val="Calibri"/>
        <family val="2"/>
      </rPr>
      <t xml:space="preserve">Tool Dev. Reports: </t>
    </r>
    <r>
      <rPr>
        <sz val="11"/>
        <color rgb="FF000000"/>
        <rFont val="Calibri"/>
        <family val="2"/>
      </rPr>
      <t>Ravindra Namburi to provide.</t>
    </r>
  </si>
  <si>
    <t>Doser motor holder</t>
  </si>
  <si>
    <t>Vertical doser wheel assembly</t>
  </si>
  <si>
    <t>Doser wheel insert</t>
  </si>
  <si>
    <t>Doser wheel</t>
  </si>
  <si>
    <t>Doser Wing nut</t>
  </si>
  <si>
    <t>Feed reducer</t>
  </si>
  <si>
    <t>Motor Protector</t>
  </si>
  <si>
    <t>Dosel wheel bearing</t>
  </si>
  <si>
    <t>What is the warranty period confirmed by the selected supplier?
- 24 months from manufacturing or 12 months from the date of installation whichever is the earlier.</t>
  </si>
  <si>
    <t>Vertical doser Motor</t>
  </si>
  <si>
    <r>
      <rPr>
        <b/>
        <sz val="11"/>
        <color rgb="FF000000"/>
        <rFont val="Calibri"/>
        <family val="2"/>
      </rPr>
      <t>24th Aug</t>
    </r>
    <r>
      <rPr>
        <sz val="11"/>
        <color rgb="FF000000"/>
        <rFont val="Calibri"/>
        <family val="2"/>
      </rPr>
      <t>-  Vendor discussion Open Points
1.Shaft to be changed to rust-proof material.
2.XT30 or XT60 connector with open-ended wire (male/female as required)
3.2 yrs warranty
As of now information: 6 months 
2nd Sep - 2026
For Model: RMCS-1211 – Industrial Grade IG45 Planetary DC Geared Motor, 50W, 10RPM, 12V, 186Kgcm, we have the following three options available:
Option	Construction
1	Electro-plated DC motor case + Stainless Steel gearbox case + Stainless Steel 304 gearbox shaft
2	Electro-plated DC motor case + Zinc-Nickel alloy plated gearbox case + Stainless Steel 304 gearbox shaft
3	Electro-plated DC motor case + Stainless Steel 304 gearbox shaft
The above options differ mainly in the gearbox case material and construction.
For complete technical specifications, please refer to the datasheet:
https://download.robokits.co.in/downloads/rmcs_1211_datasheet_01.pdf
Waiting for samples - 5 numbers</t>
    </r>
  </si>
  <si>
    <t>High</t>
  </si>
  <si>
    <t>Vertical doser feed stopper</t>
  </si>
  <si>
    <t>Feed Dispenser - (DISC)</t>
  </si>
  <si>
    <t>B</t>
  </si>
  <si>
    <r>
      <rPr>
        <b/>
        <sz val="11"/>
        <color rgb="FF000000"/>
        <rFont val="Calibri"/>
        <family val="2"/>
      </rPr>
      <t xml:space="preserve">6th Aug: </t>
    </r>
    <r>
      <rPr>
        <sz val="11"/>
        <color rgb="FF000000"/>
        <rFont val="Calibri"/>
        <family val="2"/>
      </rPr>
      <t xml:space="preserve">Query from SCM: Feed dispenser – pipe details &amp; source details of the product developed. 
</t>
    </r>
    <r>
      <rPr>
        <b/>
        <sz val="11"/>
        <color rgb="FF000000"/>
        <rFont val="Calibri"/>
        <family val="2"/>
      </rPr>
      <t xml:space="preserve">7th Aug: </t>
    </r>
    <r>
      <rPr>
        <sz val="11"/>
        <color rgb="FF000000"/>
        <rFont val="Calibri"/>
        <family val="2"/>
      </rPr>
      <t xml:space="preserve">We will confirm the results of the thickness variation and power consumption tests on Monday.
</t>
    </r>
    <r>
      <rPr>
        <b/>
        <sz val="11"/>
        <color rgb="FF000000"/>
        <rFont val="Calibri"/>
        <family val="2"/>
      </rPr>
      <t xml:space="preserve">12th Aug: </t>
    </r>
    <r>
      <rPr>
        <sz val="11"/>
        <color rgb="FF000000"/>
        <rFont val="Calibri"/>
        <family val="2"/>
      </rPr>
      <t xml:space="preserve">Today rework will complete and Tomorrow test will be finished. 
</t>
    </r>
    <r>
      <rPr>
        <b/>
        <sz val="11"/>
        <color rgb="FF000000"/>
        <rFont val="Calibri"/>
        <family val="2"/>
      </rPr>
      <t>13th Aug:</t>
    </r>
    <r>
      <rPr>
        <sz val="11"/>
        <color rgb="FF000000"/>
        <rFont val="Calibri"/>
        <family val="2"/>
      </rPr>
      <t xml:space="preserve"> 14th Aug 2026 - will get details from design team
</t>
    </r>
    <r>
      <rPr>
        <b/>
        <sz val="11"/>
        <color rgb="FF000000"/>
        <rFont val="Calibri"/>
        <family val="2"/>
      </rPr>
      <t xml:space="preserve">18th-Aug-2026: </t>
    </r>
    <r>
      <rPr>
        <sz val="11"/>
        <color rgb="FF000000"/>
        <rFont val="Calibri"/>
        <family val="2"/>
      </rPr>
      <t>Received updated drawing and pipe details.
MOQ: 40 tubes/pipes - 1800-2000 no's - supplier under working
Note: If the XT30/XT60 -&gt; The IP may fail. Pavan, could you please look into it once?</t>
    </r>
  </si>
  <si>
    <t xml:space="preserve"> 12V Dispenser motor</t>
  </si>
  <si>
    <r>
      <rPr>
        <b/>
        <sz val="11"/>
        <color rgb="FF000000"/>
        <rFont val="Calibri"/>
        <family val="2"/>
      </rPr>
      <t xml:space="preserve">HW Comments (30th July 2026): 
</t>
    </r>
    <r>
      <rPr>
        <sz val="11"/>
        <color rgb="FF000000"/>
        <rFont val="Calibri"/>
        <family val="2"/>
      </rPr>
      <t xml:space="preserve">Motor procurement can start. Any cable modification can be carried out by a harness vendor. 
</t>
    </r>
    <r>
      <rPr>
        <b/>
        <sz val="11"/>
        <color rgb="FF000000"/>
        <rFont val="Calibri"/>
        <family val="2"/>
      </rPr>
      <t xml:space="preserve">Timeline:
</t>
    </r>
    <r>
      <rPr>
        <sz val="11"/>
        <color rgb="FF000000"/>
        <rFont val="Calibri"/>
        <family val="2"/>
      </rPr>
      <t xml:space="preserve">Drawing will be ready by 4th Aug. Motor and cable. Along with an assembly drawing. 
Get the warrenty details </t>
    </r>
  </si>
  <si>
    <t>1. Specification change may require new PN, setup, MOQ, and price revision.
2. Wire colours differ from their standard; Blue + Red combination can be provided for samples.
3. New shaft material has longer lead time, so sample timeline is not yet confirmed.
4. Current PN 10213 pricing is based on bulk availability.
5. Vendor needs MOQ and ordering schedule to proceed.
6. Stock available? - 20 No's</t>
  </si>
  <si>
    <t>Dispenser Motor holder</t>
  </si>
  <si>
    <t>XT-60 Male Connector</t>
  </si>
  <si>
    <t>Relay PCB</t>
  </si>
  <si>
    <t>Cable from PCB doser connector to relay PCB</t>
  </si>
  <si>
    <t>Inter connect cable from Relay PCB to PM PCB</t>
  </si>
  <si>
    <t>Scope</t>
  </si>
  <si>
    <t>Shortlisted Supplier Name</t>
  </si>
  <si>
    <t>PM125 SQ- Float Version</t>
  </si>
  <si>
    <t>Eruvaka</t>
  </si>
  <si>
    <t>r1</t>
  </si>
  <si>
    <t>ERLPM04</t>
  </si>
  <si>
    <t xml:space="preserve">SQ125 Structure Assy </t>
  </si>
  <si>
    <t>Carryover</t>
  </si>
  <si>
    <t>ER790</t>
  </si>
  <si>
    <t xml:space="preserve">SQ125 Spider </t>
  </si>
  <si>
    <t>ER791</t>
  </si>
  <si>
    <t>SQ125 Pipe</t>
  </si>
  <si>
    <t>ER792</t>
  </si>
  <si>
    <t>SQ125 H Structure</t>
  </si>
  <si>
    <t>ERFS072</t>
  </si>
  <si>
    <t>M8 X 55 Hex head bolt</t>
  </si>
  <si>
    <t>ERFS018</t>
  </si>
  <si>
    <t>M8 Washer</t>
  </si>
  <si>
    <t>ERFS020</t>
  </si>
  <si>
    <t>M8 Nut</t>
  </si>
  <si>
    <t>ERPA018</t>
  </si>
  <si>
    <t>Strech film</t>
  </si>
  <si>
    <t>ERPA008</t>
  </si>
  <si>
    <t>ERLPM05</t>
  </si>
  <si>
    <t>SQ125 Hopper Assembly</t>
  </si>
  <si>
    <t>ER785</t>
  </si>
  <si>
    <t>SQ125 Square Hopper</t>
  </si>
  <si>
    <t>ER828</t>
  </si>
  <si>
    <t>Pre-Mould Eruvaka Logo </t>
  </si>
  <si>
    <t>ER829</t>
  </si>
  <si>
    <t>Pre-Mould Eruvaka Text - Blue</t>
  </si>
  <si>
    <t>ER830</t>
  </si>
  <si>
    <t>Pre-Mould PondMother - Blue</t>
  </si>
  <si>
    <t>ER831</t>
  </si>
  <si>
    <t>Pre-Mould Skretting Logo -  Red</t>
  </si>
  <si>
    <t>ER789</t>
  </si>
  <si>
    <t>SQ125 Rain Cap (Red)</t>
  </si>
  <si>
    <t>ERC092</t>
  </si>
  <si>
    <t>Teflon Tape</t>
  </si>
  <si>
    <t>ERC071</t>
  </si>
  <si>
    <t xml:space="preserve">Desiccant Silica Gel </t>
  </si>
  <si>
    <t>ER032</t>
  </si>
  <si>
    <t>PG11 (Gland + Lock nut+O ring)</t>
  </si>
  <si>
    <t>r0</t>
  </si>
  <si>
    <t>G Industries</t>
  </si>
  <si>
    <t>ERFS070</t>
  </si>
  <si>
    <t>M8 Lock washer</t>
  </si>
  <si>
    <t xml:space="preserve">ER010 </t>
  </si>
  <si>
    <t xml:space="preserve">Top Lid </t>
  </si>
  <si>
    <t>ER014</t>
  </si>
  <si>
    <t>Knob Handle</t>
  </si>
  <si>
    <t>ERFS007</t>
  </si>
  <si>
    <t>M4X10 Hex head bolt</t>
  </si>
  <si>
    <t>ER490</t>
  </si>
  <si>
    <t>LID MAGNET ASSY</t>
  </si>
  <si>
    <t>ER088</t>
  </si>
  <si>
    <t>Lid Magnet Holder</t>
  </si>
  <si>
    <t>ER086</t>
  </si>
  <si>
    <t>Lid Magnet</t>
  </si>
  <si>
    <t>ER085</t>
  </si>
  <si>
    <t>Lid Magnet Clamp</t>
  </si>
  <si>
    <t>ER150</t>
  </si>
  <si>
    <t>Rivets (4mm Dia x 18mm length)</t>
  </si>
  <si>
    <t>ER151</t>
  </si>
  <si>
    <t>Rivet Washer (ID-4.5mm OD-8mm)</t>
  </si>
  <si>
    <t>ERFS048</t>
  </si>
  <si>
    <t>M8x100 Hex head bolt</t>
  </si>
  <si>
    <t>ERFS050</t>
  </si>
  <si>
    <t>M8 Locknut</t>
  </si>
  <si>
    <t>ER022</t>
  </si>
  <si>
    <t>Solar Panel 40 watt</t>
  </si>
  <si>
    <t>ERFS017</t>
  </si>
  <si>
    <t>M6X20 Hex head bolt</t>
  </si>
  <si>
    <t>ERFS015</t>
  </si>
  <si>
    <t>M6 Washer</t>
  </si>
  <si>
    <t>ERFS014</t>
  </si>
  <si>
    <t>M6 Nut</t>
  </si>
  <si>
    <t>ER786</t>
  </si>
  <si>
    <t>SQ125 Solar Panel Mounting Bracket</t>
  </si>
  <si>
    <t>ERFS073</t>
  </si>
  <si>
    <t>M8 X 65 Hex head bolt</t>
  </si>
  <si>
    <t>Vertical Doser and Dispencer assembly</t>
  </si>
  <si>
    <t>ERFS065</t>
  </si>
  <si>
    <t>M4x10 CSK phillip head screw</t>
  </si>
  <si>
    <t>Vertical  Doser assembly</t>
  </si>
  <si>
    <t>Doser Motor Assembly</t>
  </si>
  <si>
    <t>Dazzle Robotics Pvt. Ltd.</t>
  </si>
  <si>
    <t>1. RMCS 1211 - 5no's RFQ in process.
2. RMCS 2698 5no's PO released</t>
  </si>
  <si>
    <t>FF - Doser Motor Wire Cable</t>
  </si>
  <si>
    <t>ERFS081</t>
  </si>
  <si>
    <t>M4x16 CSK Philips head screw</t>
  </si>
  <si>
    <t>EXOUSIA AUTOMOTIVE PRIVATE LIMITED</t>
  </si>
  <si>
    <t>Trails completed, samples ready and dispatch before 05th Oct</t>
  </si>
  <si>
    <t>Pacific Bearings Pvt Ltd</t>
  </si>
  <si>
    <t>ER481</t>
  </si>
  <si>
    <t>Hall sensor PCB</t>
  </si>
  <si>
    <t>ERFS025</t>
  </si>
  <si>
    <t>M3x6 Pan head phillips screw</t>
  </si>
  <si>
    <t>ER480</t>
  </si>
  <si>
    <t>Magnets</t>
  </si>
  <si>
    <t xml:space="preserve">Feed Dispenser </t>
  </si>
  <si>
    <t>Waiting for quotation, based on new design received on 19th Sep</t>
  </si>
  <si>
    <t>M5 Flange nut</t>
  </si>
  <si>
    <t>12V Dispenser motor wire assembly</t>
  </si>
  <si>
    <t>FF - Dispenser motor cable</t>
  </si>
  <si>
    <t>12V Dispenser motor assembly</t>
  </si>
  <si>
    <t>Davies Craig</t>
  </si>
  <si>
    <t>NA</t>
  </si>
  <si>
    <t>1. Specification change may require new PN, setup, MOQ, and price revision.
2. Wire colours differ from their standard; Blue + Red combination can be provided for samples.
3. New shaft material has longer lead time, so sample timeline is not yet confirmed.
4. Current PN 10213 pricing is based on bulk availability.
5. Vendor needs MOQ and ordering schedule to proceed.
6. Stock available? - 20 No's NO BUY</t>
  </si>
  <si>
    <t>Lugs for Dispenser cable to PM Pcb fixing end</t>
  </si>
  <si>
    <t>ERFS034</t>
  </si>
  <si>
    <t>M6 Lock nut</t>
  </si>
  <si>
    <t>FF - Controller box Assembly</t>
  </si>
  <si>
    <t>ERFS029</t>
  </si>
  <si>
    <t>M4x10 Pan head phillips screw</t>
  </si>
  <si>
    <t>ER365</t>
  </si>
  <si>
    <t>Controller box</t>
  </si>
  <si>
    <t>ER3651</t>
  </si>
  <si>
    <t xml:space="preserve">Controller box Lid </t>
  </si>
  <si>
    <t>ER3652</t>
  </si>
  <si>
    <t xml:space="preserve">Controller box Bottom </t>
  </si>
  <si>
    <t>ER051</t>
  </si>
  <si>
    <t>Standard Membrane keypad sticker - PM125</t>
  </si>
  <si>
    <t>ER034</t>
  </si>
  <si>
    <t>Push button switch-Power ON/OFF</t>
  </si>
  <si>
    <t>ER072</t>
  </si>
  <si>
    <t>2.5mm Dia Heat Shrinkable Sleeve</t>
  </si>
  <si>
    <t>ER070</t>
  </si>
  <si>
    <t>2.5mm x 15cm JST cable connector (RB)</t>
  </si>
  <si>
    <t>ET0005</t>
  </si>
  <si>
    <t>DPC-16 Silicon cover</t>
  </si>
  <si>
    <t>ER140</t>
  </si>
  <si>
    <t>PCB mounting plate</t>
  </si>
  <si>
    <t>ERC068</t>
  </si>
  <si>
    <t>Anabond 555</t>
  </si>
  <si>
    <t>ER500</t>
  </si>
  <si>
    <t>PM Controller PCBA V20</t>
  </si>
  <si>
    <t xml:space="preserve">ERFS025 </t>
  </si>
  <si>
    <t>M3 X 6 Pan head phillips screw</t>
  </si>
  <si>
    <t>ER827</t>
  </si>
  <si>
    <t xml:space="preserve"> Gromet EPDM ID 5mm </t>
  </si>
  <si>
    <t>ER558</t>
  </si>
  <si>
    <t xml:space="preserve">IP68 Charge Controller with Wiring </t>
  </si>
  <si>
    <t>ERFS063</t>
  </si>
  <si>
    <t>M4X16 Pan head phillips screw</t>
  </si>
  <si>
    <t>ER582</t>
  </si>
  <si>
    <t>Cable from IP68 Charge Controller to Battery (Part-1)</t>
  </si>
  <si>
    <t>ER581</t>
  </si>
  <si>
    <t>Power Cable from IP68 Charge Controller to  PCBA</t>
  </si>
  <si>
    <t>ER584</t>
  </si>
  <si>
    <t>Cable from IP68 Charge Controller to Solar Panel- (Part-1)</t>
  </si>
  <si>
    <t>ER583</t>
  </si>
  <si>
    <t>Cable from IP68 Charge Controller to Battery (Part-2)</t>
  </si>
  <si>
    <t xml:space="preserve">Relay PCB and CC fixing Back plate </t>
  </si>
  <si>
    <t xml:space="preserve"> ERC025 </t>
  </si>
  <si>
    <t xml:space="preserve"> Nylon cable Tags (100x2.2) - 5 No's for each controller</t>
  </si>
  <si>
    <t>ERPA023</t>
  </si>
  <si>
    <t>Foam Sheets-Controller Box 650*665*10</t>
  </si>
  <si>
    <t>ERPA012</t>
  </si>
  <si>
    <t>Cartoon box controller box-660*650*410-7ply</t>
  </si>
  <si>
    <t>ER825</t>
  </si>
  <si>
    <t>SQ125 Control Box Structure</t>
  </si>
  <si>
    <t>ER087</t>
  </si>
  <si>
    <t>Battery 12V 42amp</t>
  </si>
  <si>
    <t>ER795</t>
  </si>
  <si>
    <t>Battery Cover</t>
  </si>
  <si>
    <t>ER787</t>
  </si>
  <si>
    <t>SQ125 Battery Lock Bracket</t>
  </si>
  <si>
    <t>ER734</t>
  </si>
  <si>
    <t>Float Drums (RED)</t>
  </si>
  <si>
    <t>ER050</t>
  </si>
  <si>
    <t>UV Black Cable Tag</t>
  </si>
  <si>
    <t>Owner</t>
  </si>
  <si>
    <t>Factory Handover Readiness</t>
  </si>
  <si>
    <t>C</t>
  </si>
  <si>
    <t>R</t>
  </si>
  <si>
    <t>I</t>
  </si>
  <si>
    <t>A/R</t>
  </si>
  <si>
    <t>S</t>
  </si>
  <si>
    <r>
      <rPr>
        <b/>
        <sz val="11"/>
        <color rgb="FF000000"/>
        <rFont val="Aptos Narrow"/>
        <family val="2"/>
        <scheme val="minor"/>
      </rPr>
      <t>R</t>
    </r>
    <r>
      <rPr>
        <sz val="11"/>
        <color rgb="FF000000"/>
        <rFont val="Aptos Narrow"/>
        <family val="2"/>
        <scheme val="minor"/>
      </rPr>
      <t xml:space="preserve"> – Responsible | </t>
    </r>
    <r>
      <rPr>
        <b/>
        <sz val="11"/>
        <color rgb="FF000000"/>
        <rFont val="Aptos Narrow"/>
        <family val="2"/>
        <scheme val="minor"/>
      </rPr>
      <t>A</t>
    </r>
    <r>
      <rPr>
        <sz val="11"/>
        <color rgb="FF000000"/>
        <rFont val="Aptos Narrow"/>
        <family val="2"/>
        <scheme val="minor"/>
      </rPr>
      <t xml:space="preserve"> – Accountable| </t>
    </r>
    <r>
      <rPr>
        <b/>
        <sz val="11"/>
        <color rgb="FF000000"/>
        <rFont val="Aptos Narrow"/>
        <family val="2"/>
        <scheme val="minor"/>
      </rPr>
      <t>C</t>
    </r>
    <r>
      <rPr>
        <sz val="11"/>
        <color rgb="FF000000"/>
        <rFont val="Aptos Narrow"/>
        <family val="2"/>
        <scheme val="minor"/>
      </rPr>
      <t xml:space="preserve"> – Consulted | </t>
    </r>
    <r>
      <rPr>
        <b/>
        <sz val="11"/>
        <color rgb="FF000000"/>
        <rFont val="Aptos Narrow"/>
        <family val="2"/>
        <scheme val="minor"/>
      </rPr>
      <t>I</t>
    </r>
    <r>
      <rPr>
        <sz val="11"/>
        <color rgb="FF000000"/>
        <rFont val="Aptos Narrow"/>
        <family val="2"/>
        <scheme val="minor"/>
      </rPr>
      <t xml:space="preserve"> – Informed</t>
    </r>
  </si>
  <si>
    <t>Note:</t>
  </si>
  <si>
    <t xml:space="preserve">Example </t>
  </si>
  <si>
    <t>S.No</t>
  </si>
  <si>
    <t>Key Activities / Deliverables</t>
  </si>
  <si>
    <t>Responsible</t>
  </si>
  <si>
    <t>Accountable</t>
  </si>
  <si>
    <t>Planned Start</t>
  </si>
  <si>
    <t>Target Date</t>
  </si>
  <si>
    <t>Expected Completion</t>
  </si>
  <si>
    <t>Actual Completion</t>
  </si>
  <si>
    <t>Duration (Days)</t>
  </si>
  <si>
    <t>Days Remaining</t>
  </si>
  <si>
    <t>Schedule Status</t>
  </si>
  <si>
    <t>Dependency</t>
  </si>
  <si>
    <t>Remarks</t>
  </si>
  <si>
    <t>Design freeze approval, final drawings, final BOM, specifications, design review closure</t>
  </si>
  <si>
    <t>R&amp;D</t>
  </si>
  <si>
    <t>P&amp;E</t>
  </si>
  <si>
    <t>Part qualification plan, qualification requirements, identified qualification parts</t>
  </si>
  <si>
    <t>Quality / V&amp;V</t>
  </si>
  <si>
    <t>Approved source list, sourcing confirmation, supplier lead time</t>
  </si>
  <si>
    <t>SCM</t>
  </si>
  <si>
    <t>Supplier qualification report/approval, supplier evaluation closure</t>
  </si>
  <si>
    <t>Quality / SCM</t>
  </si>
  <si>
    <t>Approved samples/lots received, incoming inspection/verification records</t>
  </si>
  <si>
    <t>Final BOM, SOPs, qualification reports, production documents, KT and factory handover</t>
  </si>
  <si>
    <t>P&amp;E / Quality</t>
  </si>
  <si>
    <t>Note</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</si>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</sst>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m\-yyyy"/>
  </numFmts>
  <fonts count="41">
    <font>
      <sz val="11"/>
      <color theme="1"/>
      <name val="Aptos Narrow"/>
      <family val="2"/>
      <scheme val="minor"/>
    </font>
    <font>
      <sz val="11"/>
      <color theme="1"/>
      <name val="Aptos Narrow"/>
      <family val="2"/>
      <scheme val="minor"/>
    </font>
    <font>
      <sz val="11"/>
      <color theme="0"/>
      <name val="Aptos Narrow"/>
      <family val="2"/>
      <scheme val="minor"/>
    </font>
    <font>
      <sz val="11"/>
      <color theme="1"/>
      <name val="Calibri"/>
      <family val="2"/>
    </font>
    <font>
      <sz val="14"/>
      <color theme="1"/>
      <name val="Calibri"/>
      <family val="2"/>
    </font>
    <font>
      <sz val="14"/>
      <color theme="0"/>
      <name val="Calibri"/>
      <family val="2"/>
    </font>
    <font>
      <sz val="11"/>
      <color rgb="FF000000"/>
      <name val="Calibri"/>
      <family val="2"/>
    </font>
    <font>
      <sz val="11"/>
      <color theme="0"/>
      <name val="Calibri"/>
      <family val="2"/>
    </font>
    <font>
      <b/>
      <sz val="11"/>
      <color rgb="FF000000"/>
      <name val="Calibri"/>
      <family val="2"/>
    </font>
    <font>
      <b/>
      <sz val="11"/>
      <color theme="1"/>
      <name val="Calibri"/>
      <family val="2"/>
    </font>
    <font>
      <b/>
      <sz val="11"/>
      <color theme="1"/>
      <name val="Aptos Narrow"/>
      <family val="2"/>
      <scheme val="minor"/>
    </font>
    <font>
      <sz val="10"/>
      <color theme="0"/>
      <name val="Calibri"/>
      <family val="2"/>
    </font>
    <font>
      <sz val="10"/>
      <color theme="1"/>
      <name val="Calibri"/>
      <family val="2"/>
    </font>
    <font>
      <sz val="9"/>
      <color theme="1"/>
      <name val="Calibri"/>
      <family val="2"/>
    </font>
    <font>
      <sz val="10"/>
      <color rgb="FFFF0000"/>
      <name val="Calibri"/>
      <family val="2"/>
    </font>
    <font>
      <b/>
      <sz val="16"/>
      <name val="Calibri"/>
      <family val="2"/>
    </font>
    <font>
      <b/>
      <sz val="11"/>
      <name val="Calibri"/>
      <family val="2"/>
    </font>
    <font>
      <b/>
      <sz val="11"/>
      <color rgb="FF000000"/>
      <name val="Aptos Narrow"/>
      <family val="2"/>
      <scheme val="minor"/>
    </font>
    <font>
      <sz val="11"/>
      <color rgb="FF000000"/>
      <name val="Aptos Narrow"/>
      <family val="2"/>
      <scheme val="minor"/>
    </font>
    <font>
      <sz val="12"/>
      <color theme="0"/>
      <name val="Aptos Narrow"/>
      <family val="2"/>
      <scheme val="minor"/>
    </font>
    <font>
      <sz val="11"/>
      <color rgb="FF000000"/>
      <name val="Aptos"/>
      <family val="2"/>
      <charset val="1"/>
    </font>
    <font>
      <b/>
      <sz val="11"/>
      <color rgb="FFFFFFFF"/>
      <name val="Aptos Narrow"/>
      <family val="2"/>
      <scheme val="minor"/>
    </font>
    <font>
      <b/>
      <sz val="20"/>
      <color rgb="FFFFFFFF"/>
      <name val="Aptos Narrow"/>
      <family val="2"/>
      <scheme val="minor"/>
    </font>
    <font>
      <i/>
      <sz val="11"/>
      <color rgb="FF666666"/>
      <name val="Aptos Narrow"/>
      <family val="2"/>
      <scheme val="minor"/>
    </font>
    <font>
      <b/>
      <sz val="11"/>
      <color rgb="FF2F75B5"/>
      <name val="Aptos Narrow"/>
      <family val="2"/>
      <scheme val="minor"/>
    </font>
    <font>
      <sz val="11"/>
      <color rgb="FF444444"/>
      <name val="Aptos Narrow"/>
      <family val="2"/>
      <scheme val="minor"/>
    </font>
    <font>
      <i/>
      <sz val="10"/>
      <color rgb="FF666666"/>
      <name val="Aptos Narrow"/>
      <family val="2"/>
      <scheme val="minor"/>
    </font>
    <font>
      <b/>
      <sz val="22"/>
      <color theme="1"/>
      <name val="Aptos Narrow"/>
      <family val="2"/>
      <scheme val="minor"/>
    </font>
    <font>
      <b/>
      <sz val="22"/>
      <color rgb="FF2F75B5"/>
      <name val="Aptos Narrow"/>
      <family val="2"/>
      <scheme val="minor"/>
    </font>
    <font>
      <b/>
      <sz val="22"/>
      <color rgb="FFC00000"/>
      <name val="Aptos Narrow"/>
      <family val="2"/>
      <scheme val="minor"/>
    </font>
    <font>
      <b/>
      <sz val="22"/>
      <color rgb="FF2E7D32"/>
      <name val="Aptos Narrow"/>
      <family val="2"/>
      <scheme val="minor"/>
    </font>
    <font>
      <sz val="11"/>
      <color rgb="FF333333"/>
      <name val="Aptos Narrow"/>
      <family val="2"/>
      <scheme val="minor"/>
    </font>
    <font>
      <b/>
      <sz val="11"/>
      <color rgb="FFFFFFFF"/>
      <name val="Aptos Narrow"/>
      <family val="2"/>
    </font>
    <font>
      <b/>
      <sz val="11"/>
      <color rgb="FFFFFFFF"/>
      <name val="Aptos Narrow"/>
      <family val="2"/>
      <charset val="1"/>
    </font>
    <font>
      <b/>
      <sz val="11"/>
      <color theme="5"/>
      <name val="Aptos Narrow"/>
      <family val="2"/>
    </font>
    <font>
      <b/>
      <sz val="11"/>
      <color theme="5"/>
      <name val="Aptos Narrow"/>
      <family val="2"/>
      <charset val="1"/>
    </font>
    <font>
      <b/>
      <sz val="11"/>
      <color rgb="FF000000"/>
      <name val="Aptos Narrow"/>
      <family val="2"/>
    </font>
    <font>
      <sz val="11"/>
      <color rgb="FF000000"/>
      <name val="Aptos Narrow"/>
      <family val="2"/>
    </font>
    <font>
      <b/>
      <sz val="11"/>
      <color rgb="FF000000"/>
      <name val="Aptos Narrow"/>
      <family val="2"/>
      <charset val="1"/>
    </font>
    <font>
      <sz val="11"/>
      <color rgb="FF000000"/>
      <name val="Aptos Narrow"/>
      <family val="2"/>
      <charset val="1"/>
    </font>
    <font>
      <sz val="11"/>
      <color rgb="FFFFFFFF"/>
      <name val="Aptos Narrow"/>
      <family val="2"/>
      <scheme val="minor"/>
    </font>
  </fonts>
  <fills count="20">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7"/>
      </patternFill>
    </fill>
    <fill>
      <patternFill patternType="solid">
        <fgColor theme="8"/>
      </patternFill>
    </fill>
    <fill>
      <patternFill patternType="solid">
        <fgColor theme="9"/>
      </patternFill>
    </fill>
    <fill>
      <patternFill patternType="solid">
        <fgColor theme="3" tint="0.249977111117893"/>
        <bgColor indexed="64"/>
      </patternFill>
    </fill>
    <fill>
      <patternFill patternType="solid">
        <fgColor indexed="65"/>
        <bgColor rgb="FFC6EFCE"/>
      </patternFill>
    </fill>
    <fill>
      <patternFill patternType="solid">
        <fgColor rgb="FF17365D"/>
        <bgColor indexed="64"/>
      </patternFill>
    </fill>
    <fill>
      <patternFill patternType="solid">
        <fgColor rgb="FF2F75B5"/>
        <bgColor indexed="64"/>
      </patternFill>
    </fill>
    <fill>
      <patternFill patternType="solid">
        <fgColor rgb="FFF3F6F9"/>
        <bgColor indexed="64"/>
      </patternFill>
    </fill>
    <fill>
      <patternFill patternType="solid">
        <fgColor rgb="FFEAF2F8"/>
        <bgColor indexed="64"/>
      </patternFill>
    </fill>
    <fill>
      <patternFill patternType="solid">
        <fgColor rgb="FF2F75B5"/>
        <bgColor rgb="FF215F9A"/>
      </patternFill>
    </fill>
    <fill>
      <patternFill patternType="solid">
        <fgColor rgb="FF17365D"/>
        <bgColor rgb="FF333399"/>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rgb="FFD9E1F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D9E1F2"/>
      </bottom>
      <diagonal/>
    </border>
    <border>
      <left/>
      <right/>
      <top/>
      <bottom style="medium">
        <color rgb="FF000000"/>
      </bottom>
      <diagonal/>
    </border>
    <border>
      <left/>
      <right style="medium">
        <color rgb="FF000000"/>
      </right>
      <top/>
      <bottom style="medium">
        <color rgb="FF000000"/>
      </bottom>
      <diagonal/>
    </border>
    <border>
      <left/>
      <right/>
      <top/>
      <bottom style="thin">
        <color rgb="FFB4C6E7"/>
      </bottom>
      <diagonal/>
    </border>
    <border>
      <left style="medium">
        <color rgb="FF000000"/>
      </left>
      <right/>
      <top/>
      <bottom style="medium">
        <color rgb="FF000000"/>
      </bottom>
      <diagonal/>
    </border>
    <border>
      <left style="medium">
        <color rgb="FF000000"/>
      </left>
      <right/>
      <top/>
      <bottom style="thin">
        <color rgb="FFB4C6E7"/>
      </bottom>
      <diagonal/>
    </border>
    <border>
      <left/>
      <right style="medium">
        <color rgb="FF000000"/>
      </right>
      <top/>
      <bottom style="thin">
        <color rgb="FFD9E1F2"/>
      </bottom>
      <diagonal/>
    </border>
    <border>
      <left/>
      <right style="medium">
        <color rgb="FF000000"/>
      </right>
      <top/>
      <bottom style="thin">
        <color rgb="FFB4C6E7"/>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D9E1F2"/>
      </top>
      <bottom/>
      <diagonal/>
    </border>
    <border>
      <left style="medium">
        <color rgb="FF000000"/>
      </left>
      <right/>
      <top style="thin">
        <color rgb="FFD9E1F2"/>
      </top>
      <bottom/>
      <diagonal/>
    </border>
    <border>
      <left/>
      <right style="medium">
        <color rgb="FF000000"/>
      </right>
      <top style="thin">
        <color rgb="FFD9E1F2"/>
      </top>
      <bottom/>
      <diagonal/>
    </border>
  </borders>
  <cellStyleXfs count="7">
    <xf numFmtId="0" fontId="0" fillId="0" borderId="0"/>
    <xf numFmtId="0" fontId="2" fillId="2" borderId="0" applyNumberFormat="0" applyBorder="0" applyAlignment="0" applyProtection="0">
      <alignment vertical="center"/>
    </xf>
    <xf numFmtId="0" fontId="1"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cellStyleXfs>
  <cellXfs count="182">
    <xf numFmtId="0" fontId="0" fillId="0" borderId="0" xfId="0"/>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11" fillId="2" borderId="2" xfId="1" applyFont="1" applyBorder="1" applyAlignment="1">
      <alignment horizontal="center" vertical="center" wrapText="1"/>
    </xf>
    <xf numFmtId="0" fontId="11" fillId="2" borderId="3" xfId="1" applyFont="1" applyBorder="1" applyAlignment="1">
      <alignment horizontal="center" vertical="center" wrapText="1"/>
    </xf>
    <xf numFmtId="0" fontId="11" fillId="2" borderId="4" xfId="1" applyFont="1" applyBorder="1" applyAlignment="1">
      <alignment horizontal="center" vertical="center" wrapText="1"/>
    </xf>
    <xf numFmtId="0" fontId="12" fillId="0" borderId="0" xfId="0" applyFont="1" applyAlignment="1">
      <alignment horizontal="center" vertical="center" wrapText="1"/>
    </xf>
    <xf numFmtId="0" fontId="11" fillId="4" borderId="5" xfId="3" applyFont="1" applyBorder="1" applyAlignment="1">
      <alignment horizontal="center" vertical="center" wrapText="1"/>
    </xf>
    <xf numFmtId="0" fontId="11" fillId="4" borderId="7" xfId="3" applyFont="1" applyBorder="1" applyAlignment="1">
      <alignment horizontal="center" vertical="center" wrapText="1"/>
    </xf>
    <xf numFmtId="0" fontId="13" fillId="0" borderId="1"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3" fillId="0" borderId="0" xfId="0" applyFont="1" applyAlignment="1">
      <alignment horizontal="center" vertical="center"/>
    </xf>
    <xf numFmtId="0" fontId="14" fillId="0" borderId="0" xfId="0" applyFont="1" applyAlignment="1">
      <alignment horizontal="center" vertical="center" wrapText="1"/>
    </xf>
    <xf numFmtId="0" fontId="0" fillId="0" borderId="0" xfId="0" applyAlignment="1">
      <alignment vertical="center"/>
    </xf>
    <xf numFmtId="0" fontId="6" fillId="0" borderId="1" xfId="0" applyFont="1" applyBorder="1" applyAlignment="1">
      <alignment vertical="center" wrapText="1"/>
    </xf>
    <xf numFmtId="15" fontId="6" fillId="0" borderId="1" xfId="0" applyNumberFormat="1" applyFont="1" applyBorder="1" applyAlignment="1">
      <alignment vertical="center" wrapText="1"/>
    </xf>
    <xf numFmtId="0" fontId="6" fillId="9" borderId="1" xfId="0" applyFont="1" applyFill="1" applyBorder="1" applyAlignment="1">
      <alignment vertical="center" wrapText="1"/>
    </xf>
    <xf numFmtId="0" fontId="15" fillId="0" borderId="0" xfId="0" applyFont="1"/>
    <xf numFmtId="0" fontId="6" fillId="0" borderId="0" xfId="0" applyFont="1"/>
    <xf numFmtId="0" fontId="16" fillId="0" borderId="0" xfId="0" applyFont="1"/>
    <xf numFmtId="9" fontId="6" fillId="0" borderId="0" xfId="0" applyNumberFormat="1" applyFont="1"/>
    <xf numFmtId="0" fontId="0" fillId="0" borderId="0" xfId="0" applyAlignment="1">
      <alignment horizontal="center" vertical="center"/>
    </xf>
    <xf numFmtId="0" fontId="2" fillId="4" borderId="1" xfId="3" applyBorder="1" applyAlignment="1">
      <alignment vertical="center" wrapText="1"/>
    </xf>
    <xf numFmtId="0" fontId="6" fillId="0" borderId="1" xfId="0" applyFont="1" applyBorder="1" applyAlignment="1">
      <alignment horizontal="center" vertical="center" wrapText="1"/>
    </xf>
    <xf numFmtId="0" fontId="2" fillId="2" borderId="1" xfId="1" applyBorder="1" applyAlignment="1">
      <alignment horizontal="center" vertical="center" wrapText="1"/>
    </xf>
    <xf numFmtId="0" fontId="15"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7" fillId="8" borderId="1" xfId="2" applyFont="1" applyFill="1" applyBorder="1" applyAlignment="1">
      <alignment horizontal="center" vertical="center" wrapText="1"/>
    </xf>
    <xf numFmtId="164" fontId="7" fillId="8" borderId="1" xfId="2"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7" fillId="8" borderId="6" xfId="2"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19" fillId="2" borderId="1" xfId="1" applyFont="1" applyBorder="1" applyAlignment="1">
      <alignment horizontal="center" vertical="center"/>
    </xf>
    <xf numFmtId="0" fontId="20" fillId="0" borderId="1" xfId="0" applyFont="1" applyBorder="1"/>
    <xf numFmtId="0" fontId="7" fillId="8" borderId="18" xfId="2" applyFont="1" applyFill="1" applyBorder="1" applyAlignment="1">
      <alignment horizontal="center" vertical="center" wrapText="1"/>
    </xf>
    <xf numFmtId="9"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xf>
    <xf numFmtId="1" fontId="7" fillId="8" borderId="13" xfId="2" applyNumberFormat="1" applyFont="1" applyFill="1" applyBorder="1" applyAlignment="1">
      <alignment horizontal="center" vertical="center" wrapText="1"/>
    </xf>
    <xf numFmtId="9" fontId="7" fillId="8" borderId="13" xfId="2" applyNumberFormat="1" applyFont="1" applyFill="1" applyBorder="1" applyAlignment="1">
      <alignment horizontal="center" vertical="center" wrapText="1"/>
    </xf>
    <xf numFmtId="164" fontId="7" fillId="8" borderId="13" xfId="2" applyNumberFormat="1" applyFont="1" applyFill="1" applyBorder="1" applyAlignment="1">
      <alignment horizontal="center" vertical="center" wrapText="1"/>
    </xf>
    <xf numFmtId="0" fontId="7" fillId="8" borderId="21" xfId="2" applyFont="1" applyFill="1" applyBorder="1" applyAlignment="1">
      <alignment horizontal="center" vertical="center" wrapText="1"/>
    </xf>
    <xf numFmtId="0" fontId="7" fillId="8" borderId="20" xfId="2" applyFont="1" applyFill="1" applyBorder="1" applyAlignment="1">
      <alignment horizontal="center" vertical="center" wrapText="1"/>
    </xf>
    <xf numFmtId="0" fontId="7" fillId="8" borderId="22" xfId="2" applyFont="1" applyFill="1" applyBorder="1" applyAlignment="1">
      <alignment horizontal="center" vertical="center" wrapText="1"/>
    </xf>
    <xf numFmtId="0" fontId="7" fillId="8" borderId="19" xfId="2" applyFont="1" applyFill="1" applyBorder="1" applyAlignment="1">
      <alignment horizontal="center" vertical="center" wrapText="1"/>
    </xf>
    <xf numFmtId="164" fontId="7" fillId="8" borderId="21" xfId="2" applyNumberFormat="1" applyFont="1" applyFill="1" applyBorder="1" applyAlignment="1">
      <alignment horizontal="center" vertical="center" wrapText="1"/>
    </xf>
    <xf numFmtId="0" fontId="7" fillId="8" borderId="23" xfId="2" applyFont="1" applyFill="1" applyBorder="1" applyAlignment="1">
      <alignment horizontal="center" vertical="center" wrapText="1"/>
    </xf>
    <xf numFmtId="0" fontId="3" fillId="0" borderId="17" xfId="0" applyFont="1" applyBorder="1" applyAlignment="1">
      <alignment horizontal="center" vertical="center"/>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top"/>
    </xf>
    <xf numFmtId="0" fontId="21" fillId="11" borderId="0" xfId="0" applyFont="1" applyFill="1" applyAlignment="1">
      <alignment horizontal="center"/>
    </xf>
    <xf numFmtId="0" fontId="24" fillId="0" borderId="0" xfId="0" applyFont="1"/>
    <xf numFmtId="0" fontId="25" fillId="0" borderId="0" xfId="0" applyFont="1" applyAlignment="1">
      <alignment wrapText="1"/>
    </xf>
    <xf numFmtId="0" fontId="24" fillId="0" borderId="24" xfId="0" applyFont="1" applyBorder="1"/>
    <xf numFmtId="0" fontId="25" fillId="0" borderId="24" xfId="0" applyFont="1" applyBorder="1" applyAlignment="1">
      <alignment wrapText="1"/>
    </xf>
    <xf numFmtId="0" fontId="0" fillId="0" borderId="28" xfId="0" applyBorder="1" applyAlignment="1">
      <alignment vertical="center"/>
    </xf>
    <xf numFmtId="0" fontId="0" fillId="0" borderId="29" xfId="0" applyBorder="1" applyAlignment="1">
      <alignment vertical="center"/>
    </xf>
    <xf numFmtId="0" fontId="0" fillId="0" borderId="1" xfId="0" applyBorder="1" applyAlignment="1">
      <alignment horizontal="center" vertical="center" wrapText="1"/>
    </xf>
    <xf numFmtId="0" fontId="3" fillId="0" borderId="1" xfId="0" applyFont="1" applyBorder="1" applyAlignment="1">
      <alignment horizontal="left" wrapText="1"/>
    </xf>
    <xf numFmtId="0" fontId="35" fillId="0" borderId="33" xfId="0" applyFont="1" applyBorder="1" applyAlignment="1">
      <alignment horizontal="center" vertical="center"/>
    </xf>
    <xf numFmtId="1" fontId="35" fillId="0" borderId="33" xfId="0" applyNumberFormat="1" applyFont="1" applyBorder="1" applyAlignment="1">
      <alignment horizontal="center" vertical="center"/>
    </xf>
    <xf numFmtId="0" fontId="37" fillId="0" borderId="33" xfId="0" applyFont="1" applyBorder="1" applyAlignment="1">
      <alignment horizontal="center" vertical="center"/>
    </xf>
    <xf numFmtId="0" fontId="37" fillId="0" borderId="33" xfId="0" applyFont="1" applyBorder="1" applyAlignment="1">
      <alignment horizontal="center"/>
    </xf>
    <xf numFmtId="0" fontId="39" fillId="0" borderId="33" xfId="0" applyFont="1" applyBorder="1" applyAlignment="1">
      <alignment horizontal="center" vertical="center"/>
    </xf>
    <xf numFmtId="0" fontId="32" fillId="15" borderId="28" xfId="0" applyFont="1" applyFill="1" applyBorder="1" applyAlignment="1">
      <alignment horizontal="center" vertical="center"/>
    </xf>
    <xf numFmtId="0" fontId="34" fillId="0" borderId="35" xfId="0" applyFont="1" applyBorder="1"/>
    <xf numFmtId="0" fontId="36" fillId="0" borderId="35" xfId="0" applyFont="1" applyBorder="1" applyAlignment="1">
      <alignment horizontal="left" indent="2"/>
    </xf>
    <xf numFmtId="0" fontId="35" fillId="0" borderId="35" xfId="0" applyFont="1" applyBorder="1"/>
    <xf numFmtId="0" fontId="38" fillId="0" borderId="35" xfId="0" applyFont="1" applyBorder="1" applyAlignment="1">
      <alignment horizontal="left" indent="2"/>
    </xf>
    <xf numFmtId="0" fontId="21" fillId="10" borderId="26" xfId="0" applyFont="1" applyFill="1" applyBorder="1" applyAlignment="1">
      <alignment horizontal="center" vertical="center"/>
    </xf>
    <xf numFmtId="0" fontId="35" fillId="0" borderId="34" xfId="0" applyFont="1" applyBorder="1"/>
    <xf numFmtId="0" fontId="35" fillId="0" borderId="31" xfId="0" applyFont="1" applyBorder="1" applyAlignment="1">
      <alignment horizontal="center" vertical="center"/>
    </xf>
    <xf numFmtId="0" fontId="21" fillId="10" borderId="28" xfId="0" applyFont="1" applyFill="1" applyBorder="1" applyAlignment="1">
      <alignment vertical="center"/>
    </xf>
    <xf numFmtId="0" fontId="33" fillId="15" borderId="0" xfId="0" applyFont="1" applyFill="1" applyAlignment="1">
      <alignment horizontal="center" vertical="center"/>
    </xf>
    <xf numFmtId="0" fontId="32" fillId="15" borderId="0" xfId="0" applyFont="1" applyFill="1" applyAlignment="1">
      <alignment horizontal="center" vertical="center"/>
    </xf>
    <xf numFmtId="0" fontId="21" fillId="10" borderId="0" xfId="0" applyFont="1" applyFill="1" applyAlignment="1">
      <alignment vertical="center"/>
    </xf>
    <xf numFmtId="0" fontId="10" fillId="17" borderId="5" xfId="0" applyFont="1" applyFill="1" applyBorder="1" applyAlignment="1">
      <alignment vertical="center"/>
    </xf>
    <xf numFmtId="0" fontId="10" fillId="19" borderId="5" xfId="0" applyFont="1" applyFill="1" applyBorder="1" applyAlignment="1">
      <alignment vertical="center"/>
    </xf>
    <xf numFmtId="0" fontId="10" fillId="18" borderId="5" xfId="0" applyFont="1" applyFill="1" applyBorder="1" applyAlignment="1">
      <alignment vertical="center"/>
    </xf>
    <xf numFmtId="0" fontId="10" fillId="19" borderId="7" xfId="0" applyFont="1" applyFill="1" applyBorder="1" applyAlignment="1">
      <alignment vertical="center"/>
    </xf>
    <xf numFmtId="0" fontId="40" fillId="10" borderId="27" xfId="0" applyFont="1" applyFill="1" applyBorder="1" applyAlignment="1">
      <alignment horizontal="center" vertical="center"/>
    </xf>
    <xf numFmtId="0" fontId="40" fillId="10" borderId="29" xfId="0" applyFont="1" applyFill="1" applyBorder="1" applyAlignment="1">
      <alignment horizontal="center" vertical="center"/>
    </xf>
    <xf numFmtId="0" fontId="21" fillId="10" borderId="25" xfId="0" applyFont="1" applyFill="1" applyBorder="1" applyAlignment="1">
      <alignment horizontal="left" vertical="center"/>
    </xf>
    <xf numFmtId="9" fontId="10" fillId="0" borderId="37" xfId="0" applyNumberFormat="1" applyFont="1" applyBorder="1" applyAlignment="1">
      <alignment horizontal="center" vertical="center"/>
    </xf>
    <xf numFmtId="0" fontId="6" fillId="0" borderId="1" xfId="0" applyFont="1" applyBorder="1" applyAlignment="1">
      <alignment horizontal="left" vertical="center" wrapText="1"/>
    </xf>
    <xf numFmtId="9" fontId="17" fillId="0" borderId="37" xfId="0" applyNumberFormat="1" applyFont="1" applyBorder="1" applyAlignment="1">
      <alignment horizontal="center" vertical="center"/>
    </xf>
    <xf numFmtId="9" fontId="17" fillId="0" borderId="32" xfId="0" applyNumberFormat="1" applyFont="1" applyBorder="1" applyAlignment="1">
      <alignment horizontal="center" vertical="center"/>
    </xf>
    <xf numFmtId="164" fontId="3" fillId="0" borderId="1" xfId="0" applyNumberFormat="1" applyFont="1" applyBorder="1" applyAlignment="1">
      <alignment vertical="center"/>
    </xf>
    <xf numFmtId="0" fontId="5" fillId="2" borderId="14" xfId="1" applyFont="1" applyBorder="1" applyAlignment="1">
      <alignment horizontal="center" vertical="center"/>
    </xf>
    <xf numFmtId="0" fontId="5" fillId="2" borderId="15" xfId="1" applyFont="1" applyBorder="1" applyAlignment="1">
      <alignment horizontal="center" vertical="center"/>
    </xf>
    <xf numFmtId="0" fontId="5" fillId="2" borderId="16" xfId="1" applyFont="1" applyBorder="1" applyAlignment="1">
      <alignment horizontal="center" vertical="center"/>
    </xf>
    <xf numFmtId="0" fontId="5" fillId="5" borderId="14" xfId="4" applyFont="1" applyBorder="1" applyAlignment="1">
      <alignment horizontal="center" vertical="center"/>
    </xf>
    <xf numFmtId="0" fontId="5" fillId="5" borderId="15" xfId="4" applyFont="1" applyBorder="1" applyAlignment="1">
      <alignment horizontal="center" vertical="center"/>
    </xf>
    <xf numFmtId="0" fontId="5" fillId="5" borderId="16" xfId="4" applyFont="1" applyBorder="1" applyAlignment="1">
      <alignment horizontal="center" vertical="center"/>
    </xf>
    <xf numFmtId="0" fontId="5" fillId="7" borderId="38" xfId="6" applyFont="1" applyBorder="1" applyAlignment="1">
      <alignment horizontal="center" vertical="center"/>
    </xf>
    <xf numFmtId="0" fontId="5" fillId="7" borderId="39" xfId="6" applyFont="1" applyBorder="1" applyAlignment="1">
      <alignment horizontal="center" vertical="center"/>
    </xf>
    <xf numFmtId="0" fontId="5" fillId="7" borderId="41" xfId="6" applyFont="1" applyBorder="1" applyAlignment="1">
      <alignment horizontal="center" vertical="center"/>
    </xf>
    <xf numFmtId="0" fontId="5" fillId="4" borderId="38" xfId="3" applyFont="1" applyBorder="1" applyAlignment="1">
      <alignment horizontal="center" vertical="center"/>
    </xf>
    <xf numFmtId="0" fontId="5" fillId="4" borderId="39" xfId="3" applyFont="1" applyBorder="1" applyAlignment="1">
      <alignment horizontal="center" vertical="center"/>
    </xf>
    <xf numFmtId="0" fontId="5" fillId="4" borderId="40" xfId="3" applyFont="1" applyBorder="1" applyAlignment="1">
      <alignment horizontal="center" vertical="center"/>
    </xf>
    <xf numFmtId="0" fontId="5" fillId="6" borderId="38" xfId="5" applyFont="1" applyBorder="1" applyAlignment="1">
      <alignment horizontal="center" vertical="center"/>
    </xf>
    <xf numFmtId="0" fontId="5" fillId="6" borderId="39" xfId="5" applyFont="1" applyBorder="1" applyAlignment="1">
      <alignment horizontal="center" vertical="center"/>
    </xf>
    <xf numFmtId="0" fontId="5" fillId="6" borderId="40" xfId="5" applyFont="1" applyBorder="1" applyAlignment="1">
      <alignment horizontal="center" vertical="center"/>
    </xf>
    <xf numFmtId="0" fontId="5" fillId="6" borderId="14" xfId="5" applyFont="1" applyBorder="1" applyAlignment="1">
      <alignment horizontal="center" vertical="center"/>
    </xf>
    <xf numFmtId="0" fontId="5" fillId="6" borderId="15" xfId="5" applyFont="1" applyBorder="1" applyAlignment="1">
      <alignment horizontal="center" vertical="center"/>
    </xf>
    <xf numFmtId="0" fontId="5" fillId="6" borderId="16" xfId="5" applyFont="1" applyBorder="1" applyAlignment="1">
      <alignment horizontal="center" vertical="center"/>
    </xf>
    <xf numFmtId="0" fontId="0" fillId="16" borderId="42" xfId="0" applyFill="1" applyBorder="1" applyAlignment="1">
      <alignment horizontal="left" vertical="center"/>
    </xf>
    <xf numFmtId="0" fontId="0" fillId="16" borderId="43" xfId="0" applyFill="1" applyBorder="1" applyAlignment="1">
      <alignment horizontal="left" vertical="center"/>
    </xf>
    <xf numFmtId="0" fontId="0" fillId="16" borderId="44" xfId="0" applyFill="1" applyBorder="1" applyAlignment="1">
      <alignment horizontal="left" vertical="center"/>
    </xf>
    <xf numFmtId="0" fontId="21" fillId="11" borderId="31" xfId="0" applyFont="1" applyFill="1" applyBorder="1" applyAlignment="1">
      <alignment horizontal="center" vertical="center"/>
    </xf>
    <xf numFmtId="0" fontId="22" fillId="10" borderId="25" xfId="0" applyFont="1" applyFill="1" applyBorder="1" applyAlignment="1">
      <alignment horizontal="center" vertical="center"/>
    </xf>
    <xf numFmtId="0" fontId="22" fillId="10" borderId="26" xfId="0" applyFont="1" applyFill="1" applyBorder="1" applyAlignment="1">
      <alignment horizontal="center" vertical="center"/>
    </xf>
    <xf numFmtId="0" fontId="22" fillId="10" borderId="27" xfId="0" applyFont="1" applyFill="1" applyBorder="1" applyAlignment="1">
      <alignment horizontal="center" vertical="center"/>
    </xf>
    <xf numFmtId="0" fontId="26" fillId="0" borderId="10" xfId="0" applyFont="1" applyBorder="1" applyAlignment="1">
      <alignment vertical="center"/>
    </xf>
    <xf numFmtId="0" fontId="26" fillId="0" borderId="11" xfId="0" applyFont="1" applyBorder="1" applyAlignment="1">
      <alignment vertical="center"/>
    </xf>
    <xf numFmtId="0" fontId="26" fillId="0" borderId="12" xfId="0" applyFont="1" applyBorder="1" applyAlignment="1">
      <alignment vertical="center"/>
    </xf>
    <xf numFmtId="0" fontId="21" fillId="11" borderId="28" xfId="0" applyFont="1" applyFill="1" applyBorder="1" applyAlignment="1">
      <alignment horizontal="center" vertical="center"/>
    </xf>
    <xf numFmtId="0" fontId="21" fillId="11" borderId="0" xfId="0" applyFont="1" applyFill="1" applyAlignment="1">
      <alignment horizontal="center" vertical="center"/>
    </xf>
    <xf numFmtId="0" fontId="21" fillId="11" borderId="29" xfId="0"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17" fillId="0" borderId="28" xfId="0" applyFont="1" applyBorder="1" applyAlignment="1">
      <alignment horizontal="left" vertical="center" indent="1"/>
    </xf>
    <xf numFmtId="0" fontId="17" fillId="0" borderId="30" xfId="0" applyFont="1" applyBorder="1" applyAlignment="1">
      <alignment horizontal="left" vertical="center" indent="1"/>
    </xf>
    <xf numFmtId="3" fontId="0" fillId="0" borderId="0" xfId="0" applyNumberFormat="1" applyAlignment="1">
      <alignment horizontal="center" vertical="center"/>
    </xf>
    <xf numFmtId="3" fontId="0" fillId="0" borderId="24" xfId="0" applyNumberFormat="1" applyBorder="1" applyAlignment="1">
      <alignment horizontal="center" vertical="center"/>
    </xf>
    <xf numFmtId="0" fontId="0" fillId="16" borderId="45" xfId="0" applyFill="1" applyBorder="1" applyAlignment="1">
      <alignment horizontal="left" vertical="center"/>
    </xf>
    <xf numFmtId="0" fontId="0" fillId="16" borderId="46" xfId="0" applyFill="1" applyBorder="1" applyAlignment="1">
      <alignment horizontal="left" vertical="center"/>
    </xf>
    <xf numFmtId="0" fontId="0" fillId="16" borderId="47" xfId="0" applyFill="1" applyBorder="1" applyAlignment="1">
      <alignment horizontal="left" vertical="center"/>
    </xf>
    <xf numFmtId="0" fontId="27" fillId="12" borderId="25" xfId="0" applyFont="1" applyFill="1" applyBorder="1" applyAlignment="1">
      <alignment horizontal="center" vertical="center"/>
    </xf>
    <xf numFmtId="0" fontId="27" fillId="12" borderId="26" xfId="0" applyFont="1" applyFill="1" applyBorder="1" applyAlignment="1">
      <alignment horizontal="center" vertical="center"/>
    </xf>
    <xf numFmtId="0" fontId="27" fillId="12" borderId="34" xfId="0" applyFont="1" applyFill="1" applyBorder="1" applyAlignment="1">
      <alignment horizontal="center" vertical="center"/>
    </xf>
    <xf numFmtId="0" fontId="27" fillId="12" borderId="31" xfId="0" applyFont="1" applyFill="1" applyBorder="1" applyAlignment="1">
      <alignment horizontal="center" vertical="center"/>
    </xf>
    <xf numFmtId="0" fontId="21" fillId="11" borderId="28" xfId="0" applyFont="1" applyFill="1" applyBorder="1" applyAlignment="1">
      <alignment vertical="center"/>
    </xf>
    <xf numFmtId="0" fontId="21" fillId="11" borderId="0" xfId="0" applyFont="1" applyFill="1" applyAlignment="1">
      <alignment vertical="center"/>
    </xf>
    <xf numFmtId="0" fontId="21" fillId="11" borderId="29" xfId="0" applyFont="1" applyFill="1" applyBorder="1" applyAlignment="1">
      <alignment vertical="center"/>
    </xf>
    <xf numFmtId="9" fontId="28" fillId="12" borderId="25" xfId="0" applyNumberFormat="1" applyFont="1" applyFill="1" applyBorder="1" applyAlignment="1">
      <alignment horizontal="center" vertical="center"/>
    </xf>
    <xf numFmtId="3" fontId="27" fillId="12" borderId="25" xfId="0" applyNumberFormat="1" applyFont="1" applyFill="1" applyBorder="1" applyAlignment="1">
      <alignment horizontal="center" vertical="center"/>
    </xf>
    <xf numFmtId="3" fontId="29" fillId="12" borderId="25" xfId="0" applyNumberFormat="1" applyFont="1" applyFill="1" applyBorder="1" applyAlignment="1">
      <alignment horizontal="center" vertical="center"/>
    </xf>
    <xf numFmtId="165" fontId="30" fillId="12" borderId="25" xfId="0" applyNumberFormat="1" applyFont="1" applyFill="1" applyBorder="1" applyAlignment="1">
      <alignment horizontal="center" vertical="center"/>
    </xf>
    <xf numFmtId="0" fontId="27" fillId="12" borderId="27" xfId="0" applyFont="1" applyFill="1" applyBorder="1" applyAlignment="1">
      <alignment horizontal="center" vertical="center"/>
    </xf>
    <xf numFmtId="0" fontId="27" fillId="12" borderId="32" xfId="0" applyFont="1" applyFill="1" applyBorder="1" applyAlignment="1">
      <alignment horizontal="center" vertical="center"/>
    </xf>
    <xf numFmtId="0" fontId="31" fillId="13" borderId="28" xfId="0" applyFont="1" applyFill="1" applyBorder="1" applyAlignment="1">
      <alignment vertical="center" wrapText="1"/>
    </xf>
    <xf numFmtId="0" fontId="31" fillId="13" borderId="0" xfId="0" applyFont="1" applyFill="1" applyAlignment="1">
      <alignment vertical="center" wrapText="1"/>
    </xf>
    <xf numFmtId="0" fontId="31" fillId="13" borderId="29" xfId="0" applyFont="1" applyFill="1" applyBorder="1" applyAlignment="1">
      <alignment vertical="center" wrapText="1"/>
    </xf>
    <xf numFmtId="0" fontId="32" fillId="14" borderId="25" xfId="0" applyFont="1" applyFill="1" applyBorder="1" applyAlignment="1">
      <alignment horizontal="center" vertical="center"/>
    </xf>
    <xf numFmtId="0" fontId="32" fillId="14" borderId="26" xfId="0" applyFont="1" applyFill="1" applyBorder="1" applyAlignment="1">
      <alignment horizontal="center" vertical="center"/>
    </xf>
    <xf numFmtId="0" fontId="32" fillId="14" borderId="27" xfId="0" applyFont="1" applyFill="1" applyBorder="1" applyAlignment="1">
      <alignment horizontal="center" vertical="center"/>
    </xf>
    <xf numFmtId="9" fontId="10" fillId="0" borderId="50" xfId="0" applyNumberFormat="1" applyFont="1" applyBorder="1" applyAlignment="1">
      <alignment horizontal="center" vertical="center"/>
    </xf>
    <xf numFmtId="9" fontId="10" fillId="0" borderId="36" xfId="0" applyNumberFormat="1" applyFont="1" applyBorder="1" applyAlignment="1">
      <alignment horizontal="center" vertical="center"/>
    </xf>
    <xf numFmtId="0" fontId="17" fillId="0" borderId="49" xfId="0" applyFont="1" applyBorder="1" applyAlignment="1">
      <alignment horizontal="left" vertical="center" indent="1"/>
    </xf>
    <xf numFmtId="3" fontId="0" fillId="0" borderId="48" xfId="0" applyNumberFormat="1" applyBorder="1" applyAlignment="1">
      <alignment horizontal="center" vertical="center"/>
    </xf>
    <xf numFmtId="0" fontId="17" fillId="0" borderId="34" xfId="0" applyFont="1" applyBorder="1" applyAlignment="1">
      <alignment horizontal="left" vertical="center" indent="1"/>
    </xf>
    <xf numFmtId="3" fontId="0" fillId="0" borderId="31" xfId="0" applyNumberFormat="1" applyBorder="1" applyAlignment="1">
      <alignment horizontal="center" vertical="center"/>
    </xf>
    <xf numFmtId="9" fontId="10" fillId="0" borderId="32" xfId="0" applyNumberFormat="1" applyFont="1" applyBorder="1" applyAlignment="1">
      <alignment horizontal="center" vertical="center"/>
    </xf>
    <xf numFmtId="0" fontId="5" fillId="7" borderId="3" xfId="6" applyFont="1" applyBorder="1" applyAlignment="1">
      <alignment horizontal="center" vertical="center"/>
    </xf>
    <xf numFmtId="0" fontId="5" fillId="7" borderId="4" xfId="6" applyFont="1" applyBorder="1" applyAlignment="1">
      <alignment horizontal="center" vertical="center"/>
    </xf>
    <xf numFmtId="0" fontId="5" fillId="4" borderId="3" xfId="3" applyFont="1" applyBorder="1" applyAlignment="1">
      <alignment horizontal="center" vertical="center"/>
    </xf>
    <xf numFmtId="0" fontId="5" fillId="6" borderId="3" xfId="5" applyFont="1" applyBorder="1" applyAlignment="1">
      <alignment horizontal="center" vertical="center"/>
    </xf>
    <xf numFmtId="0" fontId="17"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2" fillId="0" borderId="11" xfId="0" applyFont="1" applyBorder="1" applyAlignment="1">
      <alignment horizontal="center" vertical="center" wrapText="1"/>
    </xf>
    <xf numFmtId="0" fontId="22" fillId="10" borderId="0" xfId="0" applyFont="1" applyFill="1" applyAlignment="1"/>
    <xf numFmtId="0" fontId="23" fillId="0" borderId="0" xfId="0" applyFont="1" applyAlignment="1"/>
  </cellXfs>
  <cellStyles count="7">
    <cellStyle name="20% - Accent1" xfId="2" builtinId="30"/>
    <cellStyle name="Accent1" xfId="1" builtinId="29"/>
    <cellStyle name="Accent2" xfId="3" builtinId="33"/>
    <cellStyle name="Accent4" xfId="4" builtinId="41"/>
    <cellStyle name="Accent5" xfId="5" builtinId="45"/>
    <cellStyle name="Accent6" xfId="6" builtinId="49"/>
    <cellStyle name="Normal" xfId="0" builtinId="0"/>
  </cellStyles>
  <dxfs count="21">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patternType="solid">
          <bgColor theme="3" tint="0.89999084444715716"/>
        </patternFill>
      </fill>
    </dxf>
    <dxf>
      <font>
        <color rgb="FF9C0006"/>
      </font>
      <fill>
        <patternFill patternType="solid">
          <bgColor theme="9" tint="0.79998168889431442"/>
        </patternFill>
      </fill>
    </dxf>
    <dxf>
      <font>
        <color rgb="FF9C0006"/>
      </font>
    </dxf>
    <dxf>
      <font>
        <color rgb="FF9C0006"/>
      </font>
    </dxf>
    <dxf>
      <font>
        <color rgb="FF9C5700"/>
      </font>
      <fill>
        <patternFill>
          <bgColor rgb="FFFFEB9C"/>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patternType="solid">
          <bgColor theme="3" tint="0.89999084444715716"/>
        </patternFill>
      </fill>
    </dxf>
    <dxf>
      <font>
        <color rgb="FF9C0006"/>
      </font>
      <fill>
        <patternFill patternType="solid">
          <bgColor theme="9" tint="0.79998168889431442"/>
        </patternFill>
      </fill>
    </dxf>
    <dxf>
      <font>
        <color rgb="FF9C0006"/>
      </font>
    </dxf>
  </dxfs>
  <tableStyles count="0" defaultTableStyle="TableStyleMedium2" defaultPivotStyle="PivotStyleLight16"/>
  <colors>
    <mruColors>
      <color rgb="FFF2F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Completion by Readiness Stage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Dashboard!$D$13</c:f>
              <c:strCache>
                <c:ptCount val="1"/>
                <c:pt idx="0">
                  <c:v>Progress</c:v>
                </c:pt>
              </c:strCache>
            </c:strRef>
          </c:tx>
          <c:spPr>
            <a:solidFill>
              <a:srgbClr val="15608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Dashboard!$A$14:$A$24</c:f>
              <c:strCache>
                <c:ptCount val="11"/>
                <c:pt idx="0">
                  <c:v>Design Readiness</c:v>
                </c:pt>
                <c:pt idx="2">
                  <c:v>Part Qualification</c:v>
                </c:pt>
                <c:pt idx="4">
                  <c:v>Sourcing Readiness</c:v>
                </c:pt>
                <c:pt idx="6">
                  <c:v>Supplier Qualification</c:v>
                </c:pt>
                <c:pt idx="8">
                  <c:v>Sample / Lot Procurement</c:v>
                </c:pt>
                <c:pt idx="10">
                  <c:v>Factory Handover</c:v>
                </c:pt>
              </c:strCache>
            </c:strRef>
          </c:cat>
          <c:val>
            <c:numRef>
              <c:f>Dashboard!$D$14:$D$24</c:f>
              <c:numCache>
                <c:formatCode>0%</c:formatCode>
                <c:ptCount val="11"/>
                <c:pt idx="0">
                  <c:v>0.87735849056603776</c:v>
                </c:pt>
                <c:pt idx="2">
                  <c:v>0.17924528301886791</c:v>
                </c:pt>
                <c:pt idx="4">
                  <c:v>0.16037735849056603</c:v>
                </c:pt>
                <c:pt idx="6">
                  <c:v>0</c:v>
                </c:pt>
                <c:pt idx="8">
                  <c:v>0</c:v>
                </c:pt>
                <c:pt idx="10">
                  <c:v>0</c:v>
                </c:pt>
              </c:numCache>
            </c:numRef>
          </c:val>
          <c:extLst>
            <c:ext xmlns:c16="http://schemas.microsoft.com/office/drawing/2014/chart" uri="{C3380CC4-5D6E-409C-BE32-E72D297353CC}">
              <c16:uniqueId val="{00000000-3C27-4AFE-B467-286F2261F10F}"/>
            </c:ext>
          </c:extLst>
        </c:ser>
        <c:dLbls>
          <c:showLegendKey val="0"/>
          <c:showVal val="0"/>
          <c:showCatName val="0"/>
          <c:showSerName val="0"/>
          <c:showPercent val="0"/>
          <c:showBubbleSize val="0"/>
        </c:dLbls>
        <c:gapWidth val="219"/>
        <c:axId val="1938203143"/>
        <c:axId val="1938205703"/>
      </c:barChart>
      <c:catAx>
        <c:axId val="1938203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Readiness stage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rgbClr val="F2F2F2"/>
            </a:solidFill>
            <a:prstDash val="solid"/>
            <a:round/>
          </a:ln>
          <a:effectLst/>
        </c:spPr>
        <c:txPr>
          <a:bodyPr rot="-60000000" spcFirstLastPara="1" vertOverflow="ellipsis" vert="horz" wrap="square" anchor="ctr" anchorCtr="1"/>
          <a:lstStyle/>
          <a:p>
            <a:pPr>
              <a:defRPr sz="900" b="0" i="0" u="none" strike="noStrike" kern="1200" baseline="0">
                <a:solidFill>
                  <a:srgbClr val="808080"/>
                </a:solidFill>
                <a:latin typeface="+mn-lt"/>
                <a:ea typeface="+mn-ea"/>
                <a:cs typeface="+mn-cs"/>
              </a:defRPr>
            </a:pPr>
            <a:endParaRPr lang="en-US"/>
          </a:p>
        </c:txPr>
        <c:crossAx val="1938205703"/>
        <c:crosses val="autoZero"/>
        <c:auto val="1"/>
        <c:lblAlgn val="ctr"/>
        <c:lblOffset val="100"/>
        <c:noMultiLvlLbl val="0"/>
      </c:catAx>
      <c:valAx>
        <c:axId val="1938205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Completion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03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PARTS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Dashboard!$A$30:$A$35</c:f>
              <c:strCache>
                <c:ptCount val="6"/>
                <c:pt idx="0">
                  <c:v>ALL PARTS</c:v>
                </c:pt>
                <c:pt idx="1">
                  <c:v>New - Critical</c:v>
                </c:pt>
                <c:pt idx="2">
                  <c:v>New - Regular</c:v>
                </c:pt>
                <c:pt idx="3">
                  <c:v>Carryover - Critical</c:v>
                </c:pt>
                <c:pt idx="4">
                  <c:v>Carryover - Regular</c:v>
                </c:pt>
                <c:pt idx="5">
                  <c:v>Not Specified</c:v>
                </c:pt>
              </c:strCache>
            </c:strRef>
          </c:cat>
          <c:val>
            <c:numRef>
              <c:f>Dashboard!$D$30:$D$35</c:f>
              <c:numCache>
                <c:formatCode>0%</c:formatCode>
                <c:ptCount val="6"/>
                <c:pt idx="0">
                  <c:v>0.91509433962264153</c:v>
                </c:pt>
                <c:pt idx="1">
                  <c:v>0.73529411764705888</c:v>
                </c:pt>
                <c:pt idx="2">
                  <c:v>0</c:v>
                </c:pt>
                <c:pt idx="3">
                  <c:v>1</c:v>
                </c:pt>
                <c:pt idx="4">
                  <c:v>1</c:v>
                </c:pt>
                <c:pt idx="5">
                  <c:v>0</c:v>
                </c:pt>
              </c:numCache>
            </c:numRef>
          </c:val>
          <c:extLst>
            <c:ext xmlns:c16="http://schemas.microsoft.com/office/drawing/2014/chart" uri="{C3380CC4-5D6E-409C-BE32-E72D297353CC}">
              <c16:uniqueId val="{00000000-8EAA-400A-BB96-3D5B8AE1A71C}"/>
            </c:ext>
          </c:extLst>
        </c:ser>
        <c:dLbls>
          <c:showLegendKey val="0"/>
          <c:showVal val="0"/>
          <c:showCatName val="0"/>
          <c:showSerName val="0"/>
          <c:showPercent val="0"/>
          <c:showBubbleSize val="0"/>
        </c:dLbls>
        <c:gapWidth val="182"/>
        <c:axId val="91895815"/>
        <c:axId val="91898887"/>
      </c:barChart>
      <c:catAx>
        <c:axId val="91895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8887"/>
        <c:crosses val="autoZero"/>
        <c:auto val="1"/>
        <c:lblAlgn val="ctr"/>
        <c:lblOffset val="100"/>
        <c:noMultiLvlLbl val="0"/>
      </c:catAx>
      <c:valAx>
        <c:axId val="918988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5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Dashboard!$A$36:$A$41</c:f>
              <c:strCache>
                <c:ptCount val="6"/>
                <c:pt idx="0">
                  <c:v>MECH</c:v>
                </c:pt>
                <c:pt idx="1">
                  <c:v>New - Critical</c:v>
                </c:pt>
                <c:pt idx="2">
                  <c:v>New - Regular</c:v>
                </c:pt>
                <c:pt idx="3">
                  <c:v>Carryover - Critical</c:v>
                </c:pt>
                <c:pt idx="4">
                  <c:v>Carryover - Regular</c:v>
                </c:pt>
                <c:pt idx="5">
                  <c:v>Not Specified</c:v>
                </c:pt>
              </c:strCache>
            </c:strRef>
          </c:cat>
          <c:val>
            <c:numRef>
              <c:f>Dashboard!$D$36:$D$41</c:f>
              <c:numCache>
                <c:formatCode>0%</c:formatCode>
                <c:ptCount val="6"/>
                <c:pt idx="0">
                  <c:v>0.98780487804878048</c:v>
                </c:pt>
                <c:pt idx="1">
                  <c:v>0.95652173913043481</c:v>
                </c:pt>
                <c:pt idx="2">
                  <c:v>0</c:v>
                </c:pt>
                <c:pt idx="3">
                  <c:v>1</c:v>
                </c:pt>
                <c:pt idx="4">
                  <c:v>1</c:v>
                </c:pt>
                <c:pt idx="5">
                  <c:v>0</c:v>
                </c:pt>
              </c:numCache>
            </c:numRef>
          </c:val>
          <c:extLst>
            <c:ext xmlns:c16="http://schemas.microsoft.com/office/drawing/2014/chart" uri="{C3380CC4-5D6E-409C-BE32-E72D297353CC}">
              <c16:uniqueId val="{00000000-8732-413B-89B2-AF8AE013ABBD}"/>
            </c:ext>
          </c:extLst>
        </c:ser>
        <c:dLbls>
          <c:showLegendKey val="0"/>
          <c:showVal val="0"/>
          <c:showCatName val="0"/>
          <c:showSerName val="0"/>
          <c:showPercent val="0"/>
          <c:showBubbleSize val="0"/>
        </c:dLbls>
        <c:gapWidth val="182"/>
        <c:axId val="1557696519"/>
        <c:axId val="1557698567"/>
      </c:barChart>
      <c:catAx>
        <c:axId val="1557696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98567"/>
        <c:crosses val="autoZero"/>
        <c:auto val="1"/>
        <c:lblAlgn val="ctr"/>
        <c:lblOffset val="100"/>
        <c:noMultiLvlLbl val="0"/>
      </c:catAx>
      <c:valAx>
        <c:axId val="1557698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96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Dashboard!$A$42:$A$47</c:f>
              <c:strCache>
                <c:ptCount val="6"/>
                <c:pt idx="0">
                  <c:v>HW</c:v>
                </c:pt>
                <c:pt idx="1">
                  <c:v>New - Critical</c:v>
                </c:pt>
                <c:pt idx="2">
                  <c:v>New - Regular</c:v>
                </c:pt>
                <c:pt idx="3">
                  <c:v>Carryover - Critical</c:v>
                </c:pt>
                <c:pt idx="4">
                  <c:v>Carryover - Regular</c:v>
                </c:pt>
                <c:pt idx="5">
                  <c:v>Not Specified</c:v>
                </c:pt>
              </c:strCache>
            </c:strRef>
          </c:cat>
          <c:val>
            <c:numRef>
              <c:f>Dashboard!$D$42:$D$47</c:f>
              <c:numCache>
                <c:formatCode>0%</c:formatCode>
                <c:ptCount val="6"/>
                <c:pt idx="0">
                  <c:v>0.66666666666666663</c:v>
                </c:pt>
                <c:pt idx="1">
                  <c:v>0.27272727272727271</c:v>
                </c:pt>
                <c:pt idx="2">
                  <c:v>0</c:v>
                </c:pt>
                <c:pt idx="3">
                  <c:v>1</c:v>
                </c:pt>
                <c:pt idx="4">
                  <c:v>1</c:v>
                </c:pt>
                <c:pt idx="5">
                  <c:v>0</c:v>
                </c:pt>
              </c:numCache>
            </c:numRef>
          </c:val>
          <c:extLst>
            <c:ext xmlns:c16="http://schemas.microsoft.com/office/drawing/2014/chart" uri="{C3380CC4-5D6E-409C-BE32-E72D297353CC}">
              <c16:uniqueId val="{00000000-5C3F-4289-913F-7B99FA252473}"/>
            </c:ext>
          </c:extLst>
        </c:ser>
        <c:dLbls>
          <c:showLegendKey val="0"/>
          <c:showVal val="0"/>
          <c:showCatName val="0"/>
          <c:showSerName val="0"/>
          <c:showPercent val="0"/>
          <c:showBubbleSize val="0"/>
        </c:dLbls>
        <c:gapWidth val="182"/>
        <c:axId val="1558059527"/>
        <c:axId val="1558066695"/>
      </c:barChart>
      <c:catAx>
        <c:axId val="1558059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66695"/>
        <c:crosses val="autoZero"/>
        <c:auto val="1"/>
        <c:lblAlgn val="ctr"/>
        <c:lblOffset val="100"/>
        <c:noMultiLvlLbl val="0"/>
      </c:catAx>
      <c:valAx>
        <c:axId val="1558066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59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FUNCTION NOT SPECIFIED</c:v>
                </c:pt>
              </c:strCache>
            </c:strRef>
          </c:tx>
          <c:spPr>
            <a:solidFill>
              <a:schemeClr val="accent1"/>
            </a:solidFill>
            <a:ln>
              <a:noFill/>
            </a:ln>
            <a:effectLst/>
          </c:spPr>
          <c:invertIfNegative val="0"/>
          <c:val>
            <c:numRef>
              <c:f>Dashboard!$D$48</c:f>
              <c:numCache>
                <c:formatCode>0%</c:formatCode>
                <c:ptCount val="1"/>
                <c:pt idx="0">
                  <c:v>0</c:v>
                </c:pt>
              </c:numCache>
            </c:numRef>
          </c:val>
          <c:extLst>
            <c:ext xmlns:c16="http://schemas.microsoft.com/office/drawing/2014/chart" uri="{C3380CC4-5D6E-409C-BE32-E72D297353CC}">
              <c16:uniqueId val="{00000000-5BFE-433F-8490-0744CA1D165F}"/>
            </c:ext>
          </c:extLst>
        </c:ser>
        <c:dLbls>
          <c:showLegendKey val="0"/>
          <c:showVal val="0"/>
          <c:showCatName val="0"/>
          <c:showSerName val="0"/>
          <c:showPercent val="0"/>
          <c:showBubbleSize val="0"/>
        </c:dLbls>
        <c:gapWidth val="182"/>
        <c:axId val="1609736199"/>
        <c:axId val="1609743367"/>
      </c:barChart>
      <c:catAx>
        <c:axId val="160973619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43367"/>
        <c:crosses val="autoZero"/>
        <c:auto val="1"/>
        <c:lblAlgn val="ctr"/>
        <c:lblOffset val="100"/>
        <c:noMultiLvlLbl val="0"/>
      </c:catAx>
      <c:valAx>
        <c:axId val="16097433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36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12</xdr:row>
      <xdr:rowOff>19050</xdr:rowOff>
    </xdr:from>
    <xdr:to>
      <xdr:col>17</xdr:col>
      <xdr:colOff>381000</xdr:colOff>
      <xdr:row>26</xdr:row>
      <xdr:rowOff>85725</xdr:rowOff>
    </xdr:to>
    <xdr:graphicFrame macro="">
      <xdr:nvGraphicFramePr>
        <xdr:cNvPr id="29" name="Readiness Progress">
          <a:extLst>
            <a:ext uri="{FF2B5EF4-FFF2-40B4-BE49-F238E27FC236}">
              <a16:creationId xmlns:a16="http://schemas.microsoft.com/office/drawing/2014/main" id="{06A5F0F1-4E0C-3009-34D8-FF4167E4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27</xdr:row>
      <xdr:rowOff>9525</xdr:rowOff>
    </xdr:from>
    <xdr:to>
      <xdr:col>10</xdr:col>
      <xdr:colOff>619125</xdr:colOff>
      <xdr:row>37</xdr:row>
      <xdr:rowOff>142875</xdr:rowOff>
    </xdr:to>
    <xdr:graphicFrame macro="">
      <xdr:nvGraphicFramePr>
        <xdr:cNvPr id="2" name="Chart 1">
          <a:extLst>
            <a:ext uri="{FF2B5EF4-FFF2-40B4-BE49-F238E27FC236}">
              <a16:creationId xmlns:a16="http://schemas.microsoft.com/office/drawing/2014/main" id="{F5364091-052C-4CA7-3E2D-B2441A343E79}"/>
            </a:ext>
            <a:ext uri="{147F2762-F138-4A5C-976F-8EAC2B608ADB}">
              <a16:predDERef xmlns:a16="http://schemas.microsoft.com/office/drawing/2014/main" pred="{06A5F0F1-4E0C-3009-34D8-FF4167E4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27</xdr:row>
      <xdr:rowOff>38100</xdr:rowOff>
    </xdr:from>
    <xdr:to>
      <xdr:col>17</xdr:col>
      <xdr:colOff>361950</xdr:colOff>
      <xdr:row>37</xdr:row>
      <xdr:rowOff>133350</xdr:rowOff>
    </xdr:to>
    <xdr:graphicFrame macro="">
      <xdr:nvGraphicFramePr>
        <xdr:cNvPr id="3" name="Chart 2">
          <a:extLst>
            <a:ext uri="{FF2B5EF4-FFF2-40B4-BE49-F238E27FC236}">
              <a16:creationId xmlns:a16="http://schemas.microsoft.com/office/drawing/2014/main" id="{375866FA-0E5C-4592-61D0-F3460C882D84}"/>
            </a:ext>
            <a:ext uri="{147F2762-F138-4A5C-976F-8EAC2B608ADB}">
              <a16:predDERef xmlns:a16="http://schemas.microsoft.com/office/drawing/2014/main" pred="{F5364091-052C-4CA7-3E2D-B2441A343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38</xdr:row>
      <xdr:rowOff>9525</xdr:rowOff>
    </xdr:from>
    <xdr:to>
      <xdr:col>10</xdr:col>
      <xdr:colOff>590550</xdr:colOff>
      <xdr:row>48</xdr:row>
      <xdr:rowOff>133350</xdr:rowOff>
    </xdr:to>
    <xdr:graphicFrame macro="">
      <xdr:nvGraphicFramePr>
        <xdr:cNvPr id="4" name="Chart 3">
          <a:extLst>
            <a:ext uri="{FF2B5EF4-FFF2-40B4-BE49-F238E27FC236}">
              <a16:creationId xmlns:a16="http://schemas.microsoft.com/office/drawing/2014/main" id="{9045653E-F746-83AD-BBEE-FCC8215D4C77}"/>
            </a:ext>
            <a:ext uri="{147F2762-F138-4A5C-976F-8EAC2B608ADB}">
              <a16:predDERef xmlns:a16="http://schemas.microsoft.com/office/drawing/2014/main" pred="{375866FA-0E5C-4592-61D0-F3460C882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628650</xdr:colOff>
      <xdr:row>37</xdr:row>
      <xdr:rowOff>180975</xdr:rowOff>
    </xdr:from>
    <xdr:to>
      <xdr:col>17</xdr:col>
      <xdr:colOff>361950</xdr:colOff>
      <xdr:row>48</xdr:row>
      <xdr:rowOff>95250</xdr:rowOff>
    </xdr:to>
    <xdr:graphicFrame macro="">
      <xdr:nvGraphicFramePr>
        <xdr:cNvPr id="5" name="Chart 4">
          <a:extLst>
            <a:ext uri="{FF2B5EF4-FFF2-40B4-BE49-F238E27FC236}">
              <a16:creationId xmlns:a16="http://schemas.microsoft.com/office/drawing/2014/main" id="{6E50352B-A539-9B22-900C-E323A598EFA8}"/>
            </a:ext>
            <a:ext uri="{147F2762-F138-4A5C-976F-8EAC2B608ADB}">
              <a16:predDERef xmlns:a16="http://schemas.microsoft.com/office/drawing/2014/main" pred="{9045653E-F746-83AD-BBEE-FCC8215D4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93AD-9BA0-41A7-AE2B-B036016F0F5C}">
  <dimension ref="A1:B9"/>
  <sheetViews>
    <sheetView workbookViewId="0"/>
  </sheetViews>
  <sheetFormatPr defaultRowHeight="14.45"/>
  <cols>
    <col min="1" max="1" width="38.140625" customWidth="1"/>
    <col min="2" max="2" width="66.7109375" customWidth="1"/>
  </cols>
  <sheetData>
    <row r="1" spans="1:2" ht="48" customHeight="1">
      <c r="A1" s="180" t="s">
        <v>0</v>
      </c>
      <c r="B1" s="180"/>
    </row>
    <row r="2" spans="1:2">
      <c r="A2" s="181" t="s">
        <v>1</v>
      </c>
      <c r="B2" s="181"/>
    </row>
    <row r="4" spans="1:2">
      <c r="A4" s="61" t="s">
        <v>2</v>
      </c>
      <c r="B4" s="61" t="s">
        <v>3</v>
      </c>
    </row>
    <row r="5" spans="1:2">
      <c r="A5" s="62" t="s">
        <v>4</v>
      </c>
      <c r="B5" s="63" t="s">
        <v>5</v>
      </c>
    </row>
    <row r="6" spans="1:2">
      <c r="A6" s="62" t="s">
        <v>6</v>
      </c>
      <c r="B6" s="63" t="s">
        <v>7</v>
      </c>
    </row>
    <row r="7" spans="1:2">
      <c r="A7" s="62" t="s">
        <v>8</v>
      </c>
      <c r="B7" s="63" t="s">
        <v>9</v>
      </c>
    </row>
    <row r="8" spans="1:2">
      <c r="A8" s="62" t="s">
        <v>10</v>
      </c>
      <c r="B8" s="63" t="s">
        <v>11</v>
      </c>
    </row>
    <row r="9" spans="1:2">
      <c r="A9" s="64" t="s">
        <v>12</v>
      </c>
      <c r="B9" s="65" t="s">
        <v>13</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5475-CFD5-4F00-BF8C-4260C487A5C9}">
  <dimension ref="A1:S58"/>
  <sheetViews>
    <sheetView topLeftCell="A29" workbookViewId="0">
      <selection activeCell="E44" sqref="E44"/>
    </sheetView>
  </sheetViews>
  <sheetFormatPr defaultColWidth="0" defaultRowHeight="15" customHeight="1" zeroHeight="1"/>
  <cols>
    <col min="1" max="1" width="27.28515625" style="15" bestFit="1" customWidth="1"/>
    <col min="2" max="2" width="13.85546875" style="15" bestFit="1" customWidth="1"/>
    <col min="3" max="3" width="5.5703125" style="15" bestFit="1" customWidth="1"/>
    <col min="4" max="4" width="15.140625" style="15" customWidth="1"/>
    <col min="5" max="9" width="9.5703125" style="15" customWidth="1"/>
    <col min="10" max="10" width="9.42578125" style="15" customWidth="1"/>
    <col min="11" max="18" width="9.5703125" style="15" customWidth="1"/>
    <col min="19" max="19" width="9.140625" style="15" hidden="1" customWidth="1"/>
    <col min="20" max="16384" width="0" style="15" hidden="1"/>
  </cols>
  <sheetData>
    <row r="1" spans="1:18" ht="48" customHeight="1">
      <c r="A1" s="121" t="s">
        <v>14</v>
      </c>
      <c r="B1" s="122"/>
      <c r="C1" s="122"/>
      <c r="D1" s="122"/>
      <c r="E1" s="122"/>
      <c r="F1" s="122"/>
      <c r="G1" s="122"/>
      <c r="H1" s="122"/>
      <c r="I1" s="122"/>
      <c r="J1" s="122"/>
      <c r="K1" s="122"/>
      <c r="L1" s="122"/>
      <c r="M1" s="122"/>
      <c r="N1" s="122"/>
      <c r="O1" s="122"/>
      <c r="P1" s="122"/>
      <c r="Q1" s="122"/>
      <c r="R1" s="123"/>
    </row>
    <row r="2" spans="1:18" ht="14.45">
      <c r="A2" s="124" t="str">
        <f ca="1">"Live view from FF_2026 • Updated "&amp;TEXT(NOW(),"dd-mmm-yyyy hh:mm")</f>
        <v>Live view from FF_2026 • Updated 25-Sep-2026 15:14</v>
      </c>
      <c r="B2" s="125"/>
      <c r="C2" s="125"/>
      <c r="D2" s="125"/>
      <c r="E2" s="125"/>
      <c r="F2" s="125"/>
      <c r="G2" s="125"/>
      <c r="H2" s="125"/>
      <c r="I2" s="125"/>
      <c r="J2" s="125"/>
      <c r="K2" s="125"/>
      <c r="L2" s="125"/>
      <c r="M2" s="125"/>
      <c r="N2" s="125"/>
      <c r="O2" s="125"/>
      <c r="P2" s="125"/>
      <c r="Q2" s="125"/>
      <c r="R2" s="126"/>
    </row>
    <row r="3" spans="1:18" ht="14.45">
      <c r="A3" s="130"/>
      <c r="B3" s="131"/>
      <c r="C3" s="131"/>
      <c r="D3" s="131"/>
      <c r="E3" s="131"/>
      <c r="F3" s="131"/>
      <c r="G3" s="131"/>
      <c r="H3" s="131"/>
      <c r="I3" s="131"/>
      <c r="J3" s="131"/>
      <c r="K3" s="131"/>
      <c r="L3" s="131"/>
      <c r="M3" s="131"/>
      <c r="N3" s="131"/>
      <c r="O3" s="131"/>
      <c r="P3" s="131"/>
      <c r="Q3" s="131"/>
      <c r="R3" s="132"/>
    </row>
    <row r="4" spans="1:18" ht="14.45">
      <c r="A4" s="127" t="s">
        <v>15</v>
      </c>
      <c r="B4" s="128"/>
      <c r="C4" s="128"/>
      <c r="D4" s="128" t="s">
        <v>16</v>
      </c>
      <c r="E4" s="128"/>
      <c r="F4" s="128"/>
      <c r="G4" s="120" t="s">
        <v>17</v>
      </c>
      <c r="H4" s="120"/>
      <c r="I4" s="120"/>
      <c r="J4" s="120" t="s">
        <v>18</v>
      </c>
      <c r="K4" s="120"/>
      <c r="L4" s="120"/>
      <c r="M4" s="128" t="s">
        <v>19</v>
      </c>
      <c r="N4" s="128"/>
      <c r="O4" s="128"/>
      <c r="P4" s="128" t="s">
        <v>20</v>
      </c>
      <c r="Q4" s="128"/>
      <c r="R4" s="129"/>
    </row>
    <row r="5" spans="1:18" ht="32.25" customHeight="1">
      <c r="A5" s="153">
        <f>SUM(B14:B24)/SUM(C14:C24)</f>
        <v>0.20283018867924529</v>
      </c>
      <c r="B5" s="147"/>
      <c r="C5" s="147"/>
      <c r="D5" s="154">
        <f>COUNT(FF_2026!$A$3:$A$176)</f>
        <v>106</v>
      </c>
      <c r="E5" s="147"/>
      <c r="F5" s="147"/>
      <c r="G5" s="146">
        <f>COUNTIF(FF_2026!H3:H1145,"Mech")</f>
        <v>82</v>
      </c>
      <c r="H5" s="147"/>
      <c r="I5" s="147"/>
      <c r="J5" s="146">
        <f>COUNTIF(FF_2026!H3:H1145,"HW")</f>
        <v>24</v>
      </c>
      <c r="K5" s="147"/>
      <c r="L5" s="147"/>
      <c r="M5" s="155">
        <f>COUNTIFS(FF_2026!$A$3:$A$176,"&lt;&gt;",FF_2026!$P$3:$P$176,"&gt;0")+COUNTIFS(FF_2026!$A$3:$A$176,"&lt;&gt;",FF_2026!$S$3:$S$176,"&gt;0")-COUNTIFS(FF_2026!$A$3:$A$176,"&lt;&gt;",FF_2026!$P$3:$P$176,"&gt;0",FF_2026!$S$3:$S$176,"&gt;0")</f>
        <v>4</v>
      </c>
      <c r="N5" s="147"/>
      <c r="O5" s="147"/>
      <c r="P5" s="156">
        <f>IFERROR(MIN(FF_2026!$V$3:$V$176),"")</f>
        <v>46280</v>
      </c>
      <c r="Q5" s="147"/>
      <c r="R5" s="157"/>
    </row>
    <row r="6" spans="1:18" ht="32.25" customHeight="1">
      <c r="A6" s="148"/>
      <c r="B6" s="149"/>
      <c r="C6" s="149"/>
      <c r="D6" s="148"/>
      <c r="E6" s="149"/>
      <c r="F6" s="149"/>
      <c r="G6" s="148"/>
      <c r="H6" s="149"/>
      <c r="I6" s="149"/>
      <c r="J6" s="148"/>
      <c r="K6" s="149"/>
      <c r="L6" s="149"/>
      <c r="M6" s="148"/>
      <c r="N6" s="149"/>
      <c r="O6" s="149"/>
      <c r="P6" s="148"/>
      <c r="Q6" s="149"/>
      <c r="R6" s="158"/>
    </row>
    <row r="7" spans="1:18" ht="14.45">
      <c r="A7" s="136"/>
      <c r="B7" s="137"/>
      <c r="C7" s="137"/>
      <c r="D7" s="137"/>
      <c r="E7" s="137"/>
      <c r="F7" s="137"/>
      <c r="G7" s="137"/>
      <c r="H7" s="137"/>
      <c r="I7" s="137"/>
      <c r="J7" s="137"/>
      <c r="K7" s="137"/>
      <c r="L7" s="137"/>
      <c r="M7" s="137"/>
      <c r="N7" s="137"/>
      <c r="O7" s="137"/>
      <c r="P7" s="137"/>
      <c r="Q7" s="137"/>
      <c r="R7" s="138"/>
    </row>
    <row r="8" spans="1:18" ht="14.45">
      <c r="A8" s="150" t="s">
        <v>21</v>
      </c>
      <c r="B8" s="151"/>
      <c r="C8" s="151"/>
      <c r="D8" s="151"/>
      <c r="E8" s="151"/>
      <c r="F8" s="151"/>
      <c r="G8" s="151"/>
      <c r="H8" s="151"/>
      <c r="I8" s="151"/>
      <c r="J8" s="151"/>
      <c r="K8" s="151"/>
      <c r="L8" s="151"/>
      <c r="M8" s="151"/>
      <c r="N8" s="151"/>
      <c r="O8" s="151"/>
      <c r="P8" s="151"/>
      <c r="Q8" s="151"/>
      <c r="R8" s="152"/>
    </row>
    <row r="9" spans="1:18" ht="27.75" customHeight="1">
      <c r="A9" s="159" t="str">
        <f>"Overall gate progress is "&amp;TEXT(A5,"0%")&amp;" across "&amp;TEXT(D5,"0")&amp;" tracked parts. Design and part qualification are complete; sourcing is at "&amp;TEXT(D18,"0%")&amp;". Supplier qualification, sample procurement and factory handover remain at 0%, making downstream execution the critical path. "&amp;TEXT(M5,"0")&amp;" parts currently show a positive design or qualification delay."</f>
        <v>Overall gate progress is 20% across 106 tracked parts. Design and part qualification are complete; sourcing is at 16%. Supplier qualification, sample procurement and factory handover remain at 0%, making downstream execution the critical path. 4 parts currently show a positive design or qualification delay.</v>
      </c>
      <c r="B9" s="160"/>
      <c r="C9" s="160"/>
      <c r="D9" s="160"/>
      <c r="E9" s="160"/>
      <c r="F9" s="160"/>
      <c r="G9" s="160"/>
      <c r="H9" s="160"/>
      <c r="I9" s="160"/>
      <c r="J9" s="160"/>
      <c r="K9" s="160"/>
      <c r="L9" s="160"/>
      <c r="M9" s="160"/>
      <c r="N9" s="160"/>
      <c r="O9" s="160"/>
      <c r="P9" s="160"/>
      <c r="Q9" s="160"/>
      <c r="R9" s="161"/>
    </row>
    <row r="10" spans="1:18" ht="27.75" customHeight="1">
      <c r="A10" s="159"/>
      <c r="B10" s="160"/>
      <c r="C10" s="160"/>
      <c r="D10" s="160"/>
      <c r="E10" s="160"/>
      <c r="F10" s="160"/>
      <c r="G10" s="160"/>
      <c r="H10" s="160"/>
      <c r="I10" s="160"/>
      <c r="J10" s="160"/>
      <c r="K10" s="160"/>
      <c r="L10" s="160"/>
      <c r="M10" s="160"/>
      <c r="N10" s="160"/>
      <c r="O10" s="160"/>
      <c r="P10" s="160"/>
      <c r="Q10" s="160"/>
      <c r="R10" s="161"/>
    </row>
    <row r="11" spans="1:18" ht="14.45">
      <c r="A11" s="133"/>
      <c r="B11" s="134"/>
      <c r="C11" s="134"/>
      <c r="D11" s="134"/>
      <c r="E11" s="134"/>
      <c r="F11" s="134"/>
      <c r="G11" s="134"/>
      <c r="H11" s="134"/>
      <c r="I11" s="134"/>
      <c r="J11" s="134"/>
      <c r="K11" s="134"/>
      <c r="L11" s="134"/>
      <c r="M11" s="134"/>
      <c r="N11" s="134"/>
      <c r="O11" s="134"/>
      <c r="P11" s="134"/>
      <c r="Q11" s="134"/>
      <c r="R11" s="135"/>
    </row>
    <row r="12" spans="1:18" ht="14.45">
      <c r="A12" s="150" t="s">
        <v>22</v>
      </c>
      <c r="B12" s="151"/>
      <c r="C12" s="151"/>
      <c r="D12" s="151"/>
      <c r="E12" s="151"/>
      <c r="F12" s="151"/>
      <c r="G12" s="151"/>
      <c r="H12" s="151"/>
      <c r="I12" s="151"/>
      <c r="J12" s="151"/>
      <c r="K12" s="151"/>
      <c r="L12" s="151"/>
      <c r="M12" s="151"/>
      <c r="N12" s="151"/>
      <c r="O12" s="151"/>
      <c r="P12" s="151"/>
      <c r="Q12" s="151"/>
      <c r="R12" s="152"/>
    </row>
    <row r="13" spans="1:18" ht="14.45">
      <c r="A13" s="93" t="s">
        <v>23</v>
      </c>
      <c r="B13" s="80" t="s">
        <v>24</v>
      </c>
      <c r="C13" s="80" t="s">
        <v>25</v>
      </c>
      <c r="D13" s="91" t="s">
        <v>26</v>
      </c>
      <c r="F13" s="130"/>
      <c r="G13" s="131"/>
      <c r="H13" s="131"/>
      <c r="I13" s="131"/>
      <c r="J13" s="131"/>
      <c r="K13" s="131"/>
      <c r="L13" s="131"/>
      <c r="M13" s="131"/>
      <c r="N13" s="131"/>
      <c r="O13" s="131"/>
      <c r="P13" s="131"/>
      <c r="Q13" s="131"/>
      <c r="R13" s="132"/>
    </row>
    <row r="14" spans="1:18" ht="14.45">
      <c r="A14" s="139" t="s">
        <v>27</v>
      </c>
      <c r="B14" s="141">
        <f>COUNT(FF_2026!$M$3:$M$176)</f>
        <v>93</v>
      </c>
      <c r="C14" s="141">
        <f>COUNT(FF_2026!$A$3:$A$176)</f>
        <v>106</v>
      </c>
      <c r="D14" s="165">
        <f>IFERROR(B14/C14,0)</f>
        <v>0.87735849056603776</v>
      </c>
      <c r="F14" s="133"/>
      <c r="G14" s="134"/>
      <c r="H14" s="134"/>
      <c r="I14" s="134"/>
      <c r="J14" s="134"/>
      <c r="K14" s="134"/>
      <c r="L14" s="134"/>
      <c r="M14" s="134"/>
      <c r="N14" s="134"/>
      <c r="O14" s="134"/>
      <c r="P14" s="134"/>
      <c r="Q14" s="134"/>
      <c r="R14" s="135"/>
    </row>
    <row r="15" spans="1:18" ht="14.45">
      <c r="A15" s="140"/>
      <c r="B15" s="142"/>
      <c r="C15" s="142"/>
      <c r="D15" s="166"/>
      <c r="F15" s="133"/>
      <c r="G15" s="134"/>
      <c r="H15" s="134"/>
      <c r="I15" s="134"/>
      <c r="J15" s="134"/>
      <c r="K15" s="134"/>
      <c r="L15" s="134"/>
      <c r="M15" s="134"/>
      <c r="N15" s="134"/>
      <c r="O15" s="134"/>
      <c r="P15" s="134"/>
      <c r="Q15" s="134"/>
      <c r="R15" s="135"/>
    </row>
    <row r="16" spans="1:18" ht="14.45">
      <c r="A16" s="167" t="s">
        <v>28</v>
      </c>
      <c r="B16" s="168">
        <f>COUNT(FF_2026!$R$3:$R$176)</f>
        <v>19</v>
      </c>
      <c r="C16" s="168">
        <f>COUNT(FF_2026!$A$3:$A$176)</f>
        <v>106</v>
      </c>
      <c r="D16" s="165">
        <f>IFERROR(B16/C16,0)</f>
        <v>0.17924528301886791</v>
      </c>
      <c r="F16" s="133"/>
      <c r="G16" s="134"/>
      <c r="H16" s="134"/>
      <c r="I16" s="134"/>
      <c r="J16" s="134"/>
      <c r="K16" s="134"/>
      <c r="L16" s="134"/>
      <c r="M16" s="134"/>
      <c r="N16" s="134"/>
      <c r="O16" s="134"/>
      <c r="P16" s="134"/>
      <c r="Q16" s="134"/>
      <c r="R16" s="135"/>
    </row>
    <row r="17" spans="1:18" ht="14.45">
      <c r="A17" s="140"/>
      <c r="B17" s="142"/>
      <c r="C17" s="142"/>
      <c r="D17" s="166"/>
      <c r="F17" s="133"/>
      <c r="G17" s="134"/>
      <c r="H17" s="134"/>
      <c r="I17" s="134"/>
      <c r="J17" s="134"/>
      <c r="K17" s="134"/>
      <c r="L17" s="134"/>
      <c r="M17" s="134"/>
      <c r="N17" s="134"/>
      <c r="O17" s="134"/>
      <c r="P17" s="134"/>
      <c r="Q17" s="134"/>
      <c r="R17" s="135"/>
    </row>
    <row r="18" spans="1:18" ht="14.45">
      <c r="A18" s="167" t="s">
        <v>29</v>
      </c>
      <c r="B18" s="168">
        <f>COUNT(FF_2026!$AD$3:$AD$176)</f>
        <v>17</v>
      </c>
      <c r="C18" s="168">
        <f>COUNT(FF_2026!$A$3:$A$176)</f>
        <v>106</v>
      </c>
      <c r="D18" s="165">
        <f>IFERROR(B18/C18,0)</f>
        <v>0.16037735849056603</v>
      </c>
      <c r="F18" s="133"/>
      <c r="G18" s="134"/>
      <c r="H18" s="134"/>
      <c r="I18" s="134"/>
      <c r="J18" s="134"/>
      <c r="K18" s="134"/>
      <c r="L18" s="134"/>
      <c r="M18" s="134"/>
      <c r="N18" s="134"/>
      <c r="O18" s="134"/>
      <c r="P18" s="134"/>
      <c r="Q18" s="134"/>
      <c r="R18" s="135"/>
    </row>
    <row r="19" spans="1:18" ht="14.45">
      <c r="A19" s="140"/>
      <c r="B19" s="142"/>
      <c r="C19" s="142"/>
      <c r="D19" s="166"/>
      <c r="F19" s="133"/>
      <c r="G19" s="134"/>
      <c r="H19" s="134"/>
      <c r="I19" s="134"/>
      <c r="J19" s="134"/>
      <c r="K19" s="134"/>
      <c r="L19" s="134"/>
      <c r="M19" s="134"/>
      <c r="N19" s="134"/>
      <c r="O19" s="134"/>
      <c r="P19" s="134"/>
      <c r="Q19" s="134"/>
      <c r="R19" s="135"/>
    </row>
    <row r="20" spans="1:18" ht="14.45">
      <c r="A20" s="167" t="s">
        <v>30</v>
      </c>
      <c r="B20" s="168">
        <f>COUNT(FF_2026!$AO$3:$AO$176)</f>
        <v>0</v>
      </c>
      <c r="C20" s="168">
        <f>COUNT(FF_2026!$A$3:$A$176)</f>
        <v>106</v>
      </c>
      <c r="D20" s="165">
        <f>IFERROR(B20/C20,0)</f>
        <v>0</v>
      </c>
      <c r="F20" s="133"/>
      <c r="G20" s="134"/>
      <c r="H20" s="134"/>
      <c r="I20" s="134"/>
      <c r="J20" s="134"/>
      <c r="K20" s="134"/>
      <c r="L20" s="134"/>
      <c r="M20" s="134"/>
      <c r="N20" s="134"/>
      <c r="O20" s="134"/>
      <c r="P20" s="134"/>
      <c r="Q20" s="134"/>
      <c r="R20" s="135"/>
    </row>
    <row r="21" spans="1:18" ht="14.45">
      <c r="A21" s="140"/>
      <c r="B21" s="142"/>
      <c r="C21" s="142"/>
      <c r="D21" s="166"/>
      <c r="F21" s="133"/>
      <c r="G21" s="134"/>
      <c r="H21" s="134"/>
      <c r="I21" s="134"/>
      <c r="J21" s="134"/>
      <c r="K21" s="134"/>
      <c r="L21" s="134"/>
      <c r="M21" s="134"/>
      <c r="N21" s="134"/>
      <c r="O21" s="134"/>
      <c r="P21" s="134"/>
      <c r="Q21" s="134"/>
      <c r="R21" s="135"/>
    </row>
    <row r="22" spans="1:18" ht="14.45">
      <c r="A22" s="167" t="s">
        <v>31</v>
      </c>
      <c r="B22" s="168">
        <f>COUNT(FF_2026!$AS$3:$AS$176)</f>
        <v>0</v>
      </c>
      <c r="C22" s="168">
        <f>COUNT(FF_2026!$A$3:$A$176)</f>
        <v>106</v>
      </c>
      <c r="D22" s="165">
        <f>IFERROR(B22/C22,0)</f>
        <v>0</v>
      </c>
      <c r="F22" s="133"/>
      <c r="G22" s="134"/>
      <c r="H22" s="134"/>
      <c r="I22" s="134"/>
      <c r="J22" s="134"/>
      <c r="K22" s="134"/>
      <c r="L22" s="134"/>
      <c r="M22" s="134"/>
      <c r="N22" s="134"/>
      <c r="O22" s="134"/>
      <c r="P22" s="134"/>
      <c r="Q22" s="134"/>
      <c r="R22" s="135"/>
    </row>
    <row r="23" spans="1:18" ht="14.45">
      <c r="A23" s="140"/>
      <c r="B23" s="142"/>
      <c r="C23" s="142"/>
      <c r="D23" s="166"/>
      <c r="F23" s="133"/>
      <c r="G23" s="134"/>
      <c r="H23" s="134"/>
      <c r="I23" s="134"/>
      <c r="J23" s="134"/>
      <c r="K23" s="134"/>
      <c r="L23" s="134"/>
      <c r="M23" s="134"/>
      <c r="N23" s="134"/>
      <c r="O23" s="134"/>
      <c r="P23" s="134"/>
      <c r="Q23" s="134"/>
      <c r="R23" s="135"/>
    </row>
    <row r="24" spans="1:18" ht="14.45">
      <c r="A24" s="167" t="s">
        <v>32</v>
      </c>
      <c r="B24" s="168">
        <f>COUNT(FF_2026!$BC$3:$BC$176)</f>
        <v>0</v>
      </c>
      <c r="C24" s="168">
        <f>COUNT(FF_2026!$A$3:$A$176)</f>
        <v>106</v>
      </c>
      <c r="D24" s="165">
        <f>IFERROR(B24/C24,0)</f>
        <v>0</v>
      </c>
      <c r="F24" s="133"/>
      <c r="G24" s="134"/>
      <c r="H24" s="134"/>
      <c r="I24" s="134"/>
      <c r="J24" s="134"/>
      <c r="K24" s="134"/>
      <c r="L24" s="134"/>
      <c r="M24" s="134"/>
      <c r="N24" s="134"/>
      <c r="O24" s="134"/>
      <c r="P24" s="134"/>
      <c r="Q24" s="134"/>
      <c r="R24" s="135"/>
    </row>
    <row r="25" spans="1:18" ht="14.45">
      <c r="A25" s="169"/>
      <c r="B25" s="170"/>
      <c r="C25" s="170"/>
      <c r="D25" s="171"/>
      <c r="F25" s="133"/>
      <c r="G25" s="134"/>
      <c r="H25" s="134"/>
      <c r="I25" s="134"/>
      <c r="J25" s="134"/>
      <c r="K25" s="134"/>
      <c r="L25" s="134"/>
      <c r="M25" s="134"/>
      <c r="N25" s="134"/>
      <c r="O25" s="134"/>
      <c r="P25" s="134"/>
      <c r="Q25" s="134"/>
      <c r="R25" s="135"/>
    </row>
    <row r="26" spans="1:18" ht="14.45">
      <c r="A26" s="66"/>
      <c r="F26" s="133"/>
      <c r="G26" s="134"/>
      <c r="H26" s="134"/>
      <c r="I26" s="134"/>
      <c r="J26" s="134"/>
      <c r="K26" s="134"/>
      <c r="L26" s="134"/>
      <c r="M26" s="134"/>
      <c r="N26" s="134"/>
      <c r="O26" s="134"/>
      <c r="P26" s="134"/>
      <c r="Q26" s="134"/>
      <c r="R26" s="135"/>
    </row>
    <row r="27" spans="1:18" ht="14.45">
      <c r="A27" s="66"/>
      <c r="F27" s="136"/>
      <c r="G27" s="137"/>
      <c r="H27" s="137"/>
      <c r="I27" s="137"/>
      <c r="J27" s="137"/>
      <c r="K27" s="137"/>
      <c r="L27" s="137"/>
      <c r="M27" s="137"/>
      <c r="N27" s="137"/>
      <c r="O27" s="137"/>
      <c r="P27" s="137"/>
      <c r="Q27" s="137"/>
      <c r="R27" s="138"/>
    </row>
    <row r="28" spans="1:18" ht="14.45">
      <c r="A28" s="162" t="s">
        <v>33</v>
      </c>
      <c r="B28" s="163"/>
      <c r="C28" s="163"/>
      <c r="D28" s="164"/>
      <c r="F28" s="130"/>
      <c r="G28" s="131"/>
      <c r="H28" s="131"/>
      <c r="I28" s="131"/>
      <c r="J28" s="131"/>
      <c r="K28" s="131"/>
      <c r="L28" s="131"/>
      <c r="M28" s="131"/>
      <c r="N28" s="131"/>
      <c r="O28" s="131"/>
      <c r="P28" s="131"/>
      <c r="Q28" s="131"/>
      <c r="R28" s="132"/>
    </row>
    <row r="29" spans="1:18" ht="14.45">
      <c r="A29" s="75" t="s">
        <v>34</v>
      </c>
      <c r="B29" s="84" t="s">
        <v>35</v>
      </c>
      <c r="C29" s="85" t="s">
        <v>25</v>
      </c>
      <c r="D29" s="92" t="s">
        <v>26</v>
      </c>
      <c r="F29" s="133"/>
      <c r="G29" s="134"/>
      <c r="H29" s="134"/>
      <c r="I29" s="134"/>
      <c r="J29" s="134"/>
      <c r="K29" s="134"/>
      <c r="L29" s="134"/>
      <c r="M29" s="134"/>
      <c r="N29" s="134"/>
      <c r="O29" s="134"/>
      <c r="P29" s="134"/>
      <c r="Q29" s="134"/>
      <c r="R29" s="135"/>
    </row>
    <row r="30" spans="1:18" ht="14.45">
      <c r="A30" s="76" t="s">
        <v>36</v>
      </c>
      <c r="B30" s="70">
        <f>COUNTIFS(FF_2026!$A$3:$A$646,"&lt;&gt;",FF_2026!$N$3:$N$646,"&gt;=0.9")</f>
        <v>97</v>
      </c>
      <c r="C30" s="71">
        <f>$D$5</f>
        <v>106</v>
      </c>
      <c r="D30" s="96">
        <f>IFERROR(B30/C30,0)</f>
        <v>0.91509433962264153</v>
      </c>
      <c r="F30" s="133"/>
      <c r="G30" s="134"/>
      <c r="H30" s="134"/>
      <c r="I30" s="134"/>
      <c r="J30" s="134"/>
      <c r="K30" s="134"/>
      <c r="L30" s="134"/>
      <c r="M30" s="134"/>
      <c r="N30" s="134"/>
      <c r="O30" s="134"/>
      <c r="P30" s="134"/>
      <c r="Q30" s="134"/>
      <c r="R30" s="135"/>
    </row>
    <row r="31" spans="1:18" ht="14.45">
      <c r="A31" s="77" t="s">
        <v>37</v>
      </c>
      <c r="B31" s="72">
        <f>COUNTIFS(FF_2026!$G$3:$G$646,"New - Critical",FF_2026!$N$3:$N$646,"&gt;=0.9")</f>
        <v>25</v>
      </c>
      <c r="C31" s="72">
        <f>COUNTIF(FF_2026!$G$3:$G$645,"New - Critical")</f>
        <v>34</v>
      </c>
      <c r="D31" s="94">
        <f>IFERROR(B31/C31,0)</f>
        <v>0.73529411764705888</v>
      </c>
      <c r="F31" s="133"/>
      <c r="G31" s="134"/>
      <c r="H31" s="134"/>
      <c r="I31" s="134"/>
      <c r="J31" s="134"/>
      <c r="K31" s="134"/>
      <c r="L31" s="134"/>
      <c r="M31" s="134"/>
      <c r="N31" s="134"/>
      <c r="O31" s="134"/>
      <c r="P31" s="134"/>
      <c r="Q31" s="134"/>
      <c r="R31" s="135"/>
    </row>
    <row r="32" spans="1:18" ht="14.45">
      <c r="A32" s="77" t="s">
        <v>38</v>
      </c>
      <c r="B32" s="72">
        <f>COUNTIFS(FF_2026!$G$3:$G$646,"New - Regular",FF_2026!$N$3:$N$646,"&gt;=0.9")</f>
        <v>0</v>
      </c>
      <c r="C32" s="72">
        <f>COUNTIF(FF_2026!$G$3:$G$645,"New - Regular")</f>
        <v>0</v>
      </c>
      <c r="D32" s="96">
        <f>IFERROR(B32/C32,0)</f>
        <v>0</v>
      </c>
      <c r="F32" s="133"/>
      <c r="G32" s="134"/>
      <c r="H32" s="134"/>
      <c r="I32" s="134"/>
      <c r="J32" s="134"/>
      <c r="K32" s="134"/>
      <c r="L32" s="134"/>
      <c r="M32" s="134"/>
      <c r="N32" s="134"/>
      <c r="O32" s="134"/>
      <c r="P32" s="134"/>
      <c r="Q32" s="134"/>
      <c r="R32" s="135"/>
    </row>
    <row r="33" spans="1:18" ht="14.45">
      <c r="A33" s="77" t="s">
        <v>39</v>
      </c>
      <c r="B33" s="72">
        <f>COUNTIFS(FF_2026!$G$3:$G$646,"Carryover - Critical",FF_2026!$N$3:$N$646,"&gt;=0.9")</f>
        <v>9</v>
      </c>
      <c r="C33" s="72">
        <f>COUNTIF(FF_2026!$G$3:$G$645,"Carryover - Critical")</f>
        <v>9</v>
      </c>
      <c r="D33" s="96">
        <f t="shared" ref="D33" si="0">IFERROR(B33/C33,0)</f>
        <v>1</v>
      </c>
      <c r="F33" s="133"/>
      <c r="G33" s="134"/>
      <c r="H33" s="134"/>
      <c r="I33" s="134"/>
      <c r="J33" s="134"/>
      <c r="K33" s="134"/>
      <c r="L33" s="134"/>
      <c r="M33" s="134"/>
      <c r="N33" s="134"/>
      <c r="O33" s="134"/>
      <c r="P33" s="134"/>
      <c r="Q33" s="134"/>
      <c r="R33" s="135"/>
    </row>
    <row r="34" spans="1:18" ht="14.45">
      <c r="A34" s="77" t="s">
        <v>40</v>
      </c>
      <c r="B34" s="72">
        <f>COUNTIFS(FF_2026!$G$3:$G$646,"Carryover - Regular",FF_2026!$N$3:$N$646,"&gt;=0.9")</f>
        <v>63</v>
      </c>
      <c r="C34" s="73">
        <f>COUNTIF(FF_2026!$G$3:$G$645,"Carryover - Regular")</f>
        <v>63</v>
      </c>
      <c r="D34" s="96">
        <f t="shared" ref="D34:D40" si="1">IFERROR(B34/C34,0)</f>
        <v>1</v>
      </c>
      <c r="F34" s="133"/>
      <c r="G34" s="134"/>
      <c r="H34" s="134"/>
      <c r="I34" s="134"/>
      <c r="J34" s="134"/>
      <c r="K34" s="134"/>
      <c r="L34" s="134"/>
      <c r="M34" s="134"/>
      <c r="N34" s="134"/>
      <c r="O34" s="134"/>
      <c r="P34" s="134"/>
      <c r="Q34" s="134"/>
      <c r="R34" s="135"/>
    </row>
    <row r="35" spans="1:18" ht="14.45">
      <c r="A35" s="77" t="s">
        <v>41</v>
      </c>
      <c r="B35" s="72">
        <f>COUNTIFS(FF_2026!$A$3:$A$646,"&lt;&gt;",FF_2026!$G$3:$G$646,"",FF_2026!$N$3:$N$646,"&gt;=0.9")</f>
        <v>0</v>
      </c>
      <c r="C35" s="73">
        <f>COUNTIFS(FF_2026!$A$3:$A$645,"&lt;&gt;",FF_2026!$G$3:$G$645,"")</f>
        <v>0</v>
      </c>
      <c r="D35" s="96">
        <f t="shared" si="1"/>
        <v>0</v>
      </c>
      <c r="F35" s="133"/>
      <c r="G35" s="134"/>
      <c r="H35" s="134"/>
      <c r="I35" s="134"/>
      <c r="J35" s="134"/>
      <c r="K35" s="134"/>
      <c r="L35" s="134"/>
      <c r="M35" s="134"/>
      <c r="N35" s="134"/>
      <c r="O35" s="134"/>
      <c r="P35" s="134"/>
      <c r="Q35" s="134"/>
      <c r="R35" s="135"/>
    </row>
    <row r="36" spans="1:18" ht="14.45">
      <c r="A36" s="78" t="s">
        <v>42</v>
      </c>
      <c r="B36" s="70">
        <f>COUNTIFS(FF_2026!$H$3:$H$646,"Mech",FF_2026!$N$3:$N$646,"&gt;=0.9")</f>
        <v>81</v>
      </c>
      <c r="C36" s="70">
        <f>COUNTIF(FF_2026!$H$3:$H$646,"Mech")</f>
        <v>82</v>
      </c>
      <c r="D36" s="96">
        <f t="shared" si="1"/>
        <v>0.98780487804878048</v>
      </c>
      <c r="F36" s="133"/>
      <c r="G36" s="134"/>
      <c r="H36" s="134"/>
      <c r="I36" s="134"/>
      <c r="J36" s="134"/>
      <c r="K36" s="134"/>
      <c r="L36" s="134"/>
      <c r="M36" s="134"/>
      <c r="N36" s="134"/>
      <c r="O36" s="134"/>
      <c r="P36" s="134"/>
      <c r="Q36" s="134"/>
      <c r="R36" s="135"/>
    </row>
    <row r="37" spans="1:18" ht="14.45">
      <c r="A37" s="79" t="s">
        <v>37</v>
      </c>
      <c r="B37" s="74">
        <f>COUNTIFS(FF_2026!$G$3:$G$646,"New - Critical",FF_2026!$H$3:$H$646,"Mech",FF_2026!$N$3:$N$646,"&gt;=0.9")</f>
        <v>22</v>
      </c>
      <c r="C37" s="74">
        <f>COUNTIFS(FF_2026!$G$3:$G$646,"New - Critical",FF_2026!$H$3:$H$646,"Mech")</f>
        <v>23</v>
      </c>
      <c r="D37" s="96">
        <f t="shared" si="1"/>
        <v>0.95652173913043481</v>
      </c>
      <c r="F37" s="133"/>
      <c r="G37" s="134"/>
      <c r="H37" s="134"/>
      <c r="I37" s="134"/>
      <c r="J37" s="134"/>
      <c r="K37" s="134"/>
      <c r="L37" s="134"/>
      <c r="M37" s="134"/>
      <c r="N37" s="134"/>
      <c r="O37" s="134"/>
      <c r="P37" s="134"/>
      <c r="Q37" s="134"/>
      <c r="R37" s="135"/>
    </row>
    <row r="38" spans="1:18" ht="14.45">
      <c r="A38" s="79" t="s">
        <v>38</v>
      </c>
      <c r="B38" s="74">
        <f>COUNTIFS(FF_2026!$G$3:$G$646,"New - Regular",FF_2026!$H$3:$H$646,"Mech",FF_2026!$N$3:$N$646,"&gt;=0.9")</f>
        <v>0</v>
      </c>
      <c r="C38" s="74">
        <f>COUNTIFS(FF_2026!$G$3:$G$646,"New - Regular",FF_2026!$H$3:$H$646,"Mech")</f>
        <v>0</v>
      </c>
      <c r="D38" s="96">
        <f t="shared" si="1"/>
        <v>0</v>
      </c>
      <c r="F38" s="133"/>
      <c r="G38" s="134"/>
      <c r="H38" s="134"/>
      <c r="I38" s="134"/>
      <c r="J38" s="134"/>
      <c r="K38" s="134"/>
      <c r="L38" s="134"/>
      <c r="M38" s="134"/>
      <c r="N38" s="134"/>
      <c r="O38" s="134"/>
      <c r="P38" s="134"/>
      <c r="Q38" s="134"/>
      <c r="R38" s="135"/>
    </row>
    <row r="39" spans="1:18" ht="14.45">
      <c r="A39" s="79" t="s">
        <v>39</v>
      </c>
      <c r="B39" s="74">
        <f>COUNTIFS(FF_2026!$G$3:$G$646,"Carryover - Critical",FF_2026!$H$3:$H$646,"Mech",FF_2026!$N$3:$N$646,"&gt;=0.9")</f>
        <v>7</v>
      </c>
      <c r="C39" s="74">
        <f>COUNTIFS(FF_2026!$G$3:$G$646,"Carryover - Critical",FF_2026!$H$3:$H$646,"Mech")</f>
        <v>7</v>
      </c>
      <c r="D39" s="96">
        <f t="shared" si="1"/>
        <v>1</v>
      </c>
      <c r="F39" s="133"/>
      <c r="G39" s="134"/>
      <c r="H39" s="134"/>
      <c r="I39" s="134"/>
      <c r="J39" s="134"/>
      <c r="K39" s="134"/>
      <c r="L39" s="134"/>
      <c r="M39" s="134"/>
      <c r="N39" s="134"/>
      <c r="O39" s="134"/>
      <c r="P39" s="134"/>
      <c r="Q39" s="134"/>
      <c r="R39" s="135"/>
    </row>
    <row r="40" spans="1:18" ht="14.45">
      <c r="A40" s="79" t="s">
        <v>40</v>
      </c>
      <c r="B40" s="74">
        <f>COUNTIFS(FF_2026!$G$3:$G$646,"Carryover - Regular",FF_2026!$H$3:$H$646,"Mech",FF_2026!$N$3:$N$646,"&gt;=0.9")</f>
        <v>52</v>
      </c>
      <c r="C40" s="74">
        <f>COUNTIFS(FF_2026!$G$3:$G$646,"Carryover - Regular",FF_2026!$H$3:$H$646,"Mech")</f>
        <v>52</v>
      </c>
      <c r="D40" s="96">
        <f t="shared" si="1"/>
        <v>1</v>
      </c>
      <c r="F40" s="133"/>
      <c r="G40" s="134"/>
      <c r="H40" s="134"/>
      <c r="I40" s="134"/>
      <c r="J40" s="134"/>
      <c r="K40" s="134"/>
      <c r="L40" s="134"/>
      <c r="M40" s="134"/>
      <c r="N40" s="134"/>
      <c r="O40" s="134"/>
      <c r="P40" s="134"/>
      <c r="Q40" s="134"/>
      <c r="R40" s="135"/>
    </row>
    <row r="41" spans="1:18" ht="14.45">
      <c r="A41" s="79" t="s">
        <v>41</v>
      </c>
      <c r="B41" s="74">
        <f>COUNTIFS(FF_2026!$A$3:$A$646,"&lt;&gt;",FF_2026!$G$3:$G$646,"",FF_2026!$H$3:$H$646,"Mech",FF_2026!$N$3:$N$646,"&gt;=0.9")</f>
        <v>0</v>
      </c>
      <c r="C41" s="74">
        <f>COUNTIFS(FF_2026!$A$3:$A$646,"&lt;&gt;",FF_2026!$G$3:$G$646,"",FF_2026!$H$3:$H$646,"Mech")</f>
        <v>0</v>
      </c>
      <c r="D41" s="96">
        <f t="shared" ref="D41:D42" si="2">IFERROR(B41/C41,0)</f>
        <v>0</v>
      </c>
      <c r="F41" s="133"/>
      <c r="G41" s="134"/>
      <c r="H41" s="134"/>
      <c r="I41" s="134"/>
      <c r="J41" s="134"/>
      <c r="K41" s="134"/>
      <c r="L41" s="134"/>
      <c r="M41" s="134"/>
      <c r="N41" s="134"/>
      <c r="O41" s="134"/>
      <c r="P41" s="134"/>
      <c r="Q41" s="134"/>
      <c r="R41" s="135"/>
    </row>
    <row r="42" spans="1:18" ht="14.45">
      <c r="A42" s="78" t="s">
        <v>43</v>
      </c>
      <c r="B42" s="70">
        <f>COUNTIFS(FF_2026!$H$3:$H$646,"HW",FF_2026!$N$3:$N$646,"&gt;=0.9")</f>
        <v>16</v>
      </c>
      <c r="C42" s="70">
        <f>COUNTIF(FF_2026!$H$3:$H$646,"HW")</f>
        <v>24</v>
      </c>
      <c r="D42" s="96">
        <f t="shared" si="2"/>
        <v>0.66666666666666663</v>
      </c>
      <c r="F42" s="133"/>
      <c r="G42" s="134"/>
      <c r="H42" s="134"/>
      <c r="I42" s="134"/>
      <c r="J42" s="134"/>
      <c r="K42" s="134"/>
      <c r="L42" s="134"/>
      <c r="M42" s="134"/>
      <c r="N42" s="134"/>
      <c r="O42" s="134"/>
      <c r="P42" s="134"/>
      <c r="Q42" s="134"/>
      <c r="R42" s="135"/>
    </row>
    <row r="43" spans="1:18" ht="14.45">
      <c r="A43" s="79" t="s">
        <v>37</v>
      </c>
      <c r="B43" s="74">
        <f>COUNTIFS(FF_2026!$G$3:$G$646,"New - Critical",FF_2026!$H$3:$H$646,"HW",FF_2026!$N$3:$N$646,"&gt;=0.9")</f>
        <v>3</v>
      </c>
      <c r="C43" s="74">
        <f>COUNTIFS(FF_2026!$G$3:$G$646,"New - Critical",FF_2026!$H$3:$H$646,"HW")</f>
        <v>11</v>
      </c>
      <c r="D43" s="96">
        <f>IFERROR(B43/C43,0)</f>
        <v>0.27272727272727271</v>
      </c>
      <c r="F43" s="133"/>
      <c r="G43" s="134"/>
      <c r="H43" s="134"/>
      <c r="I43" s="134"/>
      <c r="J43" s="134"/>
      <c r="K43" s="134"/>
      <c r="L43" s="134"/>
      <c r="M43" s="134"/>
      <c r="N43" s="134"/>
      <c r="O43" s="134"/>
      <c r="P43" s="134"/>
      <c r="Q43" s="134"/>
      <c r="R43" s="135"/>
    </row>
    <row r="44" spans="1:18" ht="14.45">
      <c r="A44" s="79" t="s">
        <v>38</v>
      </c>
      <c r="B44" s="74">
        <f>COUNTIFS(FF_2026!$G$3:$G$646,"New - Regular",FF_2026!$H$3:$H$646,"HW",FF_2026!$N$3:$N$646,"&gt;=0.9")</f>
        <v>0</v>
      </c>
      <c r="C44" s="74">
        <f>COUNTIFS(FF_2026!$G$3:$G$646,"New - Regular",FF_2026!$H$3:$H$646,"HW")</f>
        <v>0</v>
      </c>
      <c r="D44" s="96">
        <f t="shared" ref="D44" si="3">IFERROR(B44/C44,0)</f>
        <v>0</v>
      </c>
      <c r="F44" s="133"/>
      <c r="G44" s="134"/>
      <c r="H44" s="134"/>
      <c r="I44" s="134"/>
      <c r="J44" s="134"/>
      <c r="K44" s="134"/>
      <c r="L44" s="134"/>
      <c r="M44" s="134"/>
      <c r="N44" s="134"/>
      <c r="O44" s="134"/>
      <c r="P44" s="134"/>
      <c r="Q44" s="134"/>
      <c r="R44" s="135"/>
    </row>
    <row r="45" spans="1:18" ht="14.45">
      <c r="A45" s="79" t="s">
        <v>39</v>
      </c>
      <c r="B45" s="74">
        <f>COUNTIFS(FF_2026!$G$3:$G$646,"Carryover - Critical",FF_2026!$H$3:$H$646,"HW",FF_2026!$N$3:$N$646,"&gt;=0.9")</f>
        <v>2</v>
      </c>
      <c r="C45" s="74">
        <f>COUNTIFS(FF_2026!$G$3:$G$646,"Carryover - Critical",FF_2026!$H$3:$H$646,"HW")</f>
        <v>2</v>
      </c>
      <c r="D45" s="96">
        <f>IFERROR(B45/C45,0)</f>
        <v>1</v>
      </c>
      <c r="F45" s="133"/>
      <c r="G45" s="134"/>
      <c r="H45" s="134"/>
      <c r="I45" s="134"/>
      <c r="J45" s="134"/>
      <c r="K45" s="134"/>
      <c r="L45" s="134"/>
      <c r="M45" s="134"/>
      <c r="N45" s="134"/>
      <c r="O45" s="134"/>
      <c r="P45" s="134"/>
      <c r="Q45" s="134"/>
      <c r="R45" s="135"/>
    </row>
    <row r="46" spans="1:18" ht="14.45">
      <c r="A46" s="79" t="s">
        <v>40</v>
      </c>
      <c r="B46" s="74">
        <f>COUNTIFS(FF_2026!$G$3:$G$646,"Carryover - Regular",FF_2026!$H$3:$H$646,"HW",FF_2026!$N$3:$N$646,"&gt;=0.9")</f>
        <v>11</v>
      </c>
      <c r="C46" s="74">
        <f>COUNTIFS(FF_2026!$G$3:$G$646,"Carryover - Regular",FF_2026!$H$3:$H$646,"HW")</f>
        <v>11</v>
      </c>
      <c r="D46" s="96">
        <f>IFERROR(B46/C46,0)</f>
        <v>1</v>
      </c>
      <c r="F46" s="133"/>
      <c r="G46" s="134"/>
      <c r="H46" s="134"/>
      <c r="I46" s="134"/>
      <c r="J46" s="134"/>
      <c r="K46" s="134"/>
      <c r="L46" s="134"/>
      <c r="M46" s="134"/>
      <c r="N46" s="134"/>
      <c r="O46" s="134"/>
      <c r="P46" s="134"/>
      <c r="Q46" s="134"/>
      <c r="R46" s="135"/>
    </row>
    <row r="47" spans="1:18" ht="14.45">
      <c r="A47" s="79" t="s">
        <v>41</v>
      </c>
      <c r="B47" s="74">
        <f>COUNTIFS(FF_2026!$A$3:$A$646,"&lt;&gt;",FF_2026!$G$3:$G$646,"",FF_2026!$H$3:$H$646,"HW",FF_2026!$N$3:$N$646,"&gt;=0.9")</f>
        <v>0</v>
      </c>
      <c r="C47" s="74">
        <f>COUNTIFS(FF_2026!$A$3:$A$646,"&lt;&gt;",FF_2026!$G$3:$G$646,"",FF_2026!$H$3:$H$646,"HW")</f>
        <v>0</v>
      </c>
      <c r="D47" s="96">
        <f t="shared" ref="D47:D48" si="4">IFERROR(B47/C47,0)</f>
        <v>0</v>
      </c>
      <c r="F47" s="133"/>
      <c r="G47" s="134"/>
      <c r="H47" s="134"/>
      <c r="I47" s="134"/>
      <c r="J47" s="134"/>
      <c r="K47" s="134"/>
      <c r="L47" s="134"/>
      <c r="M47" s="134"/>
      <c r="N47" s="134"/>
      <c r="O47" s="134"/>
      <c r="P47" s="134"/>
      <c r="Q47" s="134"/>
      <c r="R47" s="135"/>
    </row>
    <row r="48" spans="1:18" ht="14.45">
      <c r="A48" s="81" t="s">
        <v>44</v>
      </c>
      <c r="B48" s="82">
        <f>COUNTIFS(FF_2026!$A$3:$A$646,"&lt;&gt;",FF_2026!$H$3:$H$646,"",FF_2026!$N$3:$N$646,"&gt;=0.9")</f>
        <v>0</v>
      </c>
      <c r="C48" s="82">
        <f>COUNTIFS(FF_2026!$A$3:$A$646,"&lt;&gt;",FF_2026!$H$3:$H$646,"")</f>
        <v>0</v>
      </c>
      <c r="D48" s="97">
        <f t="shared" si="4"/>
        <v>0</v>
      </c>
      <c r="F48" s="133"/>
      <c r="G48" s="134"/>
      <c r="H48" s="134"/>
      <c r="I48" s="134"/>
      <c r="J48" s="134"/>
      <c r="K48" s="134"/>
      <c r="L48" s="134"/>
      <c r="M48" s="134"/>
      <c r="N48" s="134"/>
      <c r="O48" s="134"/>
      <c r="P48" s="134"/>
      <c r="Q48" s="134"/>
      <c r="R48" s="135"/>
    </row>
    <row r="49" spans="1:18" ht="14.45">
      <c r="A49" s="66"/>
      <c r="F49" s="136"/>
      <c r="G49" s="137"/>
      <c r="H49" s="137"/>
      <c r="I49" s="137"/>
      <c r="J49" s="137"/>
      <c r="K49" s="137"/>
      <c r="L49" s="137"/>
      <c r="M49" s="137"/>
      <c r="N49" s="137"/>
      <c r="O49" s="137"/>
      <c r="P49" s="137"/>
      <c r="Q49" s="137"/>
      <c r="R49" s="138"/>
    </row>
    <row r="50" spans="1:18" ht="14.45">
      <c r="A50" s="133"/>
      <c r="B50" s="134"/>
      <c r="C50" s="134"/>
      <c r="D50" s="134"/>
      <c r="E50" s="134"/>
      <c r="F50" s="134"/>
      <c r="G50" s="134"/>
      <c r="H50" s="134"/>
      <c r="I50" s="134"/>
      <c r="J50" s="134"/>
      <c r="K50" s="134"/>
      <c r="L50" s="134"/>
      <c r="M50" s="134"/>
      <c r="N50" s="134"/>
      <c r="O50" s="134"/>
      <c r="P50" s="134"/>
      <c r="Q50" s="134"/>
      <c r="R50" s="135"/>
    </row>
    <row r="51" spans="1:18" ht="14.45">
      <c r="A51" s="133"/>
      <c r="B51" s="134"/>
      <c r="C51" s="134"/>
      <c r="D51" s="134"/>
      <c r="E51" s="134"/>
      <c r="F51" s="134"/>
      <c r="G51" s="134"/>
      <c r="H51" s="134"/>
      <c r="I51" s="134"/>
      <c r="J51" s="134"/>
      <c r="K51" s="134"/>
      <c r="L51" s="134"/>
      <c r="M51" s="134"/>
      <c r="N51" s="134"/>
      <c r="O51" s="134"/>
      <c r="P51" s="134"/>
      <c r="Q51" s="134"/>
      <c r="R51" s="135"/>
    </row>
    <row r="52" spans="1:18" ht="14.45">
      <c r="A52" s="150" t="s">
        <v>45</v>
      </c>
      <c r="B52" s="151"/>
      <c r="C52" s="151"/>
      <c r="D52" s="151"/>
      <c r="E52" s="151"/>
      <c r="F52" s="151"/>
      <c r="G52" s="151"/>
      <c r="H52" s="151"/>
      <c r="I52" s="151"/>
      <c r="J52" s="151"/>
      <c r="K52" s="151"/>
      <c r="L52" s="151"/>
      <c r="M52" s="151"/>
      <c r="N52" s="151"/>
      <c r="O52" s="151"/>
      <c r="P52" s="151"/>
      <c r="Q52" s="151"/>
      <c r="R52" s="152"/>
    </row>
    <row r="53" spans="1:18" ht="14.45">
      <c r="A53" s="83" t="s">
        <v>46</v>
      </c>
      <c r="B53" s="86" t="s">
        <v>47</v>
      </c>
      <c r="R53" s="67"/>
    </row>
    <row r="54" spans="1:18" ht="32.25" customHeight="1">
      <c r="A54" s="87" t="s">
        <v>48</v>
      </c>
      <c r="B54" s="117" t="s">
        <v>49</v>
      </c>
      <c r="C54" s="118"/>
      <c r="D54" s="118"/>
      <c r="E54" s="118"/>
      <c r="F54" s="118"/>
      <c r="G54" s="118"/>
      <c r="H54" s="118"/>
      <c r="I54" s="118"/>
      <c r="J54" s="118"/>
      <c r="K54" s="118"/>
      <c r="L54" s="118"/>
      <c r="M54" s="118"/>
      <c r="N54" s="118"/>
      <c r="O54" s="118"/>
      <c r="P54" s="118"/>
      <c r="Q54" s="118"/>
      <c r="R54" s="119"/>
    </row>
    <row r="55" spans="1:18" ht="32.25" customHeight="1">
      <c r="A55" s="88" t="s">
        <v>50</v>
      </c>
      <c r="B55" s="117" t="s">
        <v>51</v>
      </c>
      <c r="C55" s="118"/>
      <c r="D55" s="118"/>
      <c r="E55" s="118"/>
      <c r="F55" s="118"/>
      <c r="G55" s="118"/>
      <c r="H55" s="118"/>
      <c r="I55" s="118"/>
      <c r="J55" s="118"/>
      <c r="K55" s="118"/>
      <c r="L55" s="118"/>
      <c r="M55" s="118"/>
      <c r="N55" s="118"/>
      <c r="O55" s="118"/>
      <c r="P55" s="118"/>
      <c r="Q55" s="118"/>
      <c r="R55" s="119"/>
    </row>
    <row r="56" spans="1:18" ht="32.25" customHeight="1">
      <c r="A56" s="89" t="s">
        <v>52</v>
      </c>
      <c r="B56" s="117" t="s">
        <v>53</v>
      </c>
      <c r="C56" s="118"/>
      <c r="D56" s="118"/>
      <c r="E56" s="118"/>
      <c r="F56" s="118"/>
      <c r="G56" s="118"/>
      <c r="H56" s="118"/>
      <c r="I56" s="118"/>
      <c r="J56" s="118"/>
      <c r="K56" s="118"/>
      <c r="L56" s="118"/>
      <c r="M56" s="118"/>
      <c r="N56" s="118"/>
      <c r="O56" s="118"/>
      <c r="P56" s="118"/>
      <c r="Q56" s="118"/>
      <c r="R56" s="119"/>
    </row>
    <row r="57" spans="1:18" ht="32.25" customHeight="1">
      <c r="A57" s="90" t="s">
        <v>54</v>
      </c>
      <c r="B57" s="143" t="s">
        <v>55</v>
      </c>
      <c r="C57" s="144"/>
      <c r="D57" s="144"/>
      <c r="E57" s="144"/>
      <c r="F57" s="144"/>
      <c r="G57" s="144"/>
      <c r="H57" s="144"/>
      <c r="I57" s="144"/>
      <c r="J57" s="144"/>
      <c r="K57" s="144"/>
      <c r="L57" s="144"/>
      <c r="M57" s="144"/>
      <c r="N57" s="144"/>
      <c r="O57" s="144"/>
      <c r="P57" s="144"/>
      <c r="Q57" s="144"/>
      <c r="R57" s="145"/>
    </row>
    <row r="58" spans="1:18" ht="15" customHeight="1"/>
  </sheetData>
  <sheetProtection sheet="1" objects="1" scenarios="1"/>
  <mergeCells count="54">
    <mergeCell ref="C22:C23"/>
    <mergeCell ref="C24:C25"/>
    <mergeCell ref="D16:D17"/>
    <mergeCell ref="D18:D19"/>
    <mergeCell ref="D20:D21"/>
    <mergeCell ref="D22:D23"/>
    <mergeCell ref="D24:D25"/>
    <mergeCell ref="A22:A23"/>
    <mergeCell ref="A24:A25"/>
    <mergeCell ref="B16:B17"/>
    <mergeCell ref="B18:B19"/>
    <mergeCell ref="B20:B21"/>
    <mergeCell ref="B22:B23"/>
    <mergeCell ref="B24:B25"/>
    <mergeCell ref="C14:C15"/>
    <mergeCell ref="D14:D15"/>
    <mergeCell ref="A16:A17"/>
    <mergeCell ref="A18:A19"/>
    <mergeCell ref="A20:A21"/>
    <mergeCell ref="C16:C17"/>
    <mergeCell ref="C18:C19"/>
    <mergeCell ref="C20:C21"/>
    <mergeCell ref="B56:R56"/>
    <mergeCell ref="B57:R57"/>
    <mergeCell ref="G5:I6"/>
    <mergeCell ref="J5:L6"/>
    <mergeCell ref="A12:R12"/>
    <mergeCell ref="A52:R52"/>
    <mergeCell ref="A5:C6"/>
    <mergeCell ref="D5:F6"/>
    <mergeCell ref="M5:O6"/>
    <mergeCell ref="P5:R6"/>
    <mergeCell ref="A8:R8"/>
    <mergeCell ref="A9:R10"/>
    <mergeCell ref="A7:R7"/>
    <mergeCell ref="A51:R51"/>
    <mergeCell ref="A11:R11"/>
    <mergeCell ref="A28:D28"/>
    <mergeCell ref="B54:R54"/>
    <mergeCell ref="B55:R55"/>
    <mergeCell ref="G4:I4"/>
    <mergeCell ref="J4:L4"/>
    <mergeCell ref="A1:R1"/>
    <mergeCell ref="A2:R2"/>
    <mergeCell ref="A4:C4"/>
    <mergeCell ref="D4:F4"/>
    <mergeCell ref="M4:O4"/>
    <mergeCell ref="P4:R4"/>
    <mergeCell ref="A3:R3"/>
    <mergeCell ref="F13:R27"/>
    <mergeCell ref="F28:R49"/>
    <mergeCell ref="A50:R50"/>
    <mergeCell ref="A14:A15"/>
    <mergeCell ref="B14:B15"/>
  </mergeCells>
  <conditionalFormatting sqref="D14:D25">
    <cfRule type="dataBar" priority="1">
      <dataBar>
        <cfvo type="min"/>
        <cfvo type="max"/>
        <color rgb="FF63C384"/>
      </dataBar>
      <extLst>
        <ext xmlns:x14="http://schemas.microsoft.com/office/spreadsheetml/2009/9/main" uri="{B025F937-C7B1-47D3-B67F-A62EFF666E3E}">
          <x14:id>{1CC4E538-E768-4AE9-8A3B-1A78B83DAF0C}</x14:id>
        </ext>
      </extLst>
    </cfRule>
    <cfRule type="dataBar" priority="3">
      <dataBar>
        <cfvo type="min"/>
        <cfvo type="max"/>
        <color rgb="FFFF555A"/>
      </dataBar>
      <extLst>
        <ext xmlns:x14="http://schemas.microsoft.com/office/spreadsheetml/2009/9/main" uri="{B025F937-C7B1-47D3-B67F-A62EFF666E3E}">
          <x14:id>{76BF655B-C73B-444E-B06F-B4E8CD32EF05}</x14:id>
        </ext>
      </extLst>
    </cfRule>
    <cfRule type="dataBar" priority="4">
      <dataBar>
        <cfvo type="min"/>
        <cfvo type="max"/>
        <color rgb="FF008AEF"/>
      </dataBar>
      <extLst>
        <ext xmlns:x14="http://schemas.microsoft.com/office/spreadsheetml/2009/9/main" uri="{B025F937-C7B1-47D3-B67F-A62EFF666E3E}">
          <x14:id>{0C4E8B53-0353-430F-9F9B-0B98F2CC8BA0}</x14:id>
        </ext>
      </extLst>
    </cfRule>
    <cfRule type="dataBar" priority="5">
      <dataBar>
        <cfvo type="min"/>
        <cfvo type="max"/>
        <color rgb="FF638EC6"/>
      </dataBar>
      <extLst>
        <ext xmlns:x14="http://schemas.microsoft.com/office/spreadsheetml/2009/9/main" uri="{B025F937-C7B1-47D3-B67F-A62EFF666E3E}">
          <x14:id>{F583AA24-4D2D-43FC-8C05-AFDA2499F2EE}</x14:id>
        </ext>
      </extLst>
    </cfRule>
  </conditionalFormatting>
  <conditionalFormatting sqref="D22 D24 D20 D18 D16 D14">
    <cfRule type="dataBar" priority="55">
      <dataBar>
        <cfvo type="min"/>
        <cfvo type="max"/>
        <color rgb="FFFF555A"/>
      </dataBar>
      <extLst>
        <ext xmlns:x14="http://schemas.microsoft.com/office/spreadsheetml/2009/9/main" uri="{B025F937-C7B1-47D3-B67F-A62EFF666E3E}">
          <x14:id>{044D11F9-95B8-41B9-A284-9EBB0C251147}</x14:id>
        </ext>
      </extLst>
    </cfRule>
    <cfRule type="dataBar" priority="61">
      <dataBar>
        <cfvo type="min"/>
        <cfvo type="max"/>
        <color rgb="FF63C384"/>
      </dataBar>
      <extLst>
        <ext xmlns:x14="http://schemas.microsoft.com/office/spreadsheetml/2009/9/main" uri="{B025F937-C7B1-47D3-B67F-A62EFF666E3E}">
          <x14:id>{7AE64CB0-B56B-41D7-AA35-B377D681F969}</x14:id>
        </ext>
      </extLst>
    </cfRule>
  </conditionalFormatting>
  <conditionalFormatting sqref="D30:D48">
    <cfRule type="dataBar" priority="2">
      <dataBar>
        <cfvo type="min"/>
        <cfvo type="max"/>
        <color rgb="FF63C384"/>
      </dataBar>
      <extLst>
        <ext xmlns:x14="http://schemas.microsoft.com/office/spreadsheetml/2009/9/main" uri="{B025F937-C7B1-47D3-B67F-A62EFF666E3E}">
          <x14:id>{73DB8111-FDD1-46FE-88AA-CE2494FA176A}</x14:id>
        </ext>
      </extLst>
    </cfRule>
    <cfRule type="dataBar" priority="6">
      <dataBar>
        <cfvo type="min"/>
        <cfvo type="max"/>
        <color rgb="FF63C384"/>
      </dataBar>
      <extLst>
        <ext xmlns:x14="http://schemas.microsoft.com/office/spreadsheetml/2009/9/main" uri="{B025F937-C7B1-47D3-B67F-A62EFF666E3E}">
          <x14:id>{DE07DDCF-A626-49B5-B493-CB03C9E5687C}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CC4E538-E768-4AE9-8A3B-1A78B83DAF0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6BF655B-C73B-444E-B06F-B4E8CD32EF0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C4E8B53-0353-430F-9F9B-0B98F2CC8BA0}">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F583AA24-4D2D-43FC-8C05-AFDA2499F2EE}">
            <x14:dataBar minLength="0" maxLength="100" border="1" negativeBarBorderColorSameAsPositive="0">
              <x14:cfvo type="autoMin"/>
              <x14:cfvo type="autoMax"/>
              <x14:borderColor rgb="FF638EC6"/>
              <x14:negativeFillColor rgb="FFFF0000"/>
              <x14:negativeBorderColor rgb="FFFF0000"/>
              <x14:axisColor rgb="FF000000"/>
            </x14:dataBar>
          </x14:cfRule>
          <xm:sqref>D14:D25</xm:sqref>
        </x14:conditionalFormatting>
        <x14:conditionalFormatting xmlns:xm="http://schemas.microsoft.com/office/excel/2006/main">
          <x14:cfRule type="dataBar" id="{044D11F9-95B8-41B9-A284-9EBB0C251147}">
            <x14:dataBar minLength="0" maxLength="100" gradient="0">
              <x14:cfvo type="autoMin"/>
              <x14:cfvo type="autoMax"/>
              <x14:negativeFillColor rgb="FFFF0000"/>
              <x14:axisColor rgb="FF000000"/>
            </x14:dataBar>
          </x14:cfRule>
          <x14:cfRule type="dataBar" id="{7AE64CB0-B56B-41D7-AA35-B377D681F969}">
            <x14:dataBar minLength="0" maxLength="100" gradient="0">
              <x14:cfvo type="autoMin"/>
              <x14:cfvo type="autoMax"/>
              <x14:negativeFillColor rgb="FFFF0000"/>
              <x14:axisColor rgb="FF000000"/>
            </x14:dataBar>
          </x14:cfRule>
          <xm:sqref>D22 D24 D20 D18 D16 D14</xm:sqref>
        </x14:conditionalFormatting>
        <x14:conditionalFormatting xmlns:xm="http://schemas.microsoft.com/office/excel/2006/main">
          <x14:cfRule type="dataBar" id="{73DB8111-FDD1-46FE-88AA-CE2494FA176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E07DDCF-A626-49B5-B493-CB03C9E5687C}">
            <x14:dataBar minLength="0" maxLength="100" gradient="0">
              <x14:cfvo type="autoMin"/>
              <x14:cfvo type="autoMax"/>
              <x14:negativeFillColor rgb="FFFF0000"/>
              <x14:axisColor rgb="FF000000"/>
            </x14:dataBar>
          </x14:cfRule>
          <xm:sqref>D30:D48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77BE-C3D3-4865-8DAD-D82CCF22B69D}">
  <dimension ref="A1:B10"/>
  <sheetViews>
    <sheetView workbookViewId="0">
      <pane ySplit="1" topLeftCell="A2" activePane="bottomLeft" state="frozen"/>
      <selection pane="bottomLeft" activeCell="A13" sqref="A13"/>
    </sheetView>
  </sheetViews>
  <sheetFormatPr defaultColWidth="30.28515625" defaultRowHeight="14.45"/>
  <cols>
    <col min="1" max="1" width="42" bestFit="1" customWidth="1"/>
    <col min="2" max="2" width="37.7109375" bestFit="1" customWidth="1"/>
  </cols>
  <sheetData>
    <row r="1" spans="1:2" ht="15.95">
      <c r="A1" s="43" t="s">
        <v>56</v>
      </c>
      <c r="B1" s="43" t="s">
        <v>57</v>
      </c>
    </row>
    <row r="2" spans="1:2">
      <c r="A2" s="44" t="s">
        <v>58</v>
      </c>
      <c r="B2" s="44" t="s">
        <v>59</v>
      </c>
    </row>
    <row r="3" spans="1:2">
      <c r="A3" s="44" t="s">
        <v>60</v>
      </c>
      <c r="B3" s="44" t="s">
        <v>61</v>
      </c>
    </row>
    <row r="4" spans="1:2">
      <c r="A4" s="44" t="s">
        <v>43</v>
      </c>
      <c r="B4" s="44" t="s">
        <v>62</v>
      </c>
    </row>
    <row r="5" spans="1:2">
      <c r="A5" s="44" t="s">
        <v>63</v>
      </c>
      <c r="B5" s="44" t="s">
        <v>64</v>
      </c>
    </row>
    <row r="6" spans="1:2">
      <c r="A6" s="44" t="s">
        <v>65</v>
      </c>
      <c r="B6" s="44" t="s">
        <v>66</v>
      </c>
    </row>
    <row r="7" spans="1:2">
      <c r="A7" s="44" t="s">
        <v>67</v>
      </c>
      <c r="B7" s="44" t="s">
        <v>68</v>
      </c>
    </row>
    <row r="8" spans="1:2">
      <c r="A8" s="44" t="s">
        <v>69</v>
      </c>
      <c r="B8" s="44" t="s">
        <v>70</v>
      </c>
    </row>
    <row r="9" spans="1:2">
      <c r="A9" s="44" t="s">
        <v>71</v>
      </c>
      <c r="B9" s="44" t="s">
        <v>72</v>
      </c>
    </row>
    <row r="10" spans="1:2">
      <c r="A10" s="44" t="s">
        <v>73</v>
      </c>
      <c r="B10" s="44" t="s">
        <v>74</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8EFE-4B56-464B-9411-92BE99F13E89}">
  <dimension ref="A1:BB33"/>
  <sheetViews>
    <sheetView zoomScale="85" zoomScaleNormal="85" workbookViewId="0">
      <pane xSplit="10" ySplit="2" topLeftCell="K16" activePane="bottomRight" state="frozen"/>
      <selection pane="bottomRight" activeCell="L25" sqref="L25"/>
      <selection pane="bottomLeft"/>
      <selection pane="topRight"/>
    </sheetView>
  </sheetViews>
  <sheetFormatPr defaultColWidth="0" defaultRowHeight="0" customHeight="1" zeroHeight="1"/>
  <cols>
    <col min="1" max="1" width="5.28515625" style="42" bestFit="1" customWidth="1"/>
    <col min="2" max="2" width="8" style="57" bestFit="1" customWidth="1"/>
    <col min="3" max="3" width="7.85546875" style="36" bestFit="1" customWidth="1"/>
    <col min="4" max="4" width="22.28515625" style="2" customWidth="1"/>
    <col min="5" max="5" width="5.140625" style="36" bestFit="1" customWidth="1"/>
    <col min="6" max="6" width="12.85546875" style="36" customWidth="1"/>
    <col min="7" max="7" width="8.5703125" style="36" bestFit="1" customWidth="1"/>
    <col min="8" max="8" width="7.28515625" style="36" bestFit="1" customWidth="1"/>
    <col min="9" max="9" width="4.28515625" style="36" bestFit="1" customWidth="1"/>
    <col min="10" max="10" width="4.140625" style="36" bestFit="1" customWidth="1"/>
    <col min="11" max="11" width="9.42578125" style="35" bestFit="1" customWidth="1"/>
    <col min="12" max="12" width="9.7109375" style="35" bestFit="1" customWidth="1"/>
    <col min="13" max="13" width="9.140625" style="47" customWidth="1"/>
    <col min="14" max="14" width="5.7109375" style="36" bestFit="1" customWidth="1"/>
    <col min="15" max="15" width="6.140625" style="36" bestFit="1" customWidth="1"/>
    <col min="16" max="17" width="10.5703125" style="35" bestFit="1" customWidth="1"/>
    <col min="18" max="18" width="7.28515625" style="37" customWidth="1"/>
    <col min="19" max="19" width="6.28515625" style="36" bestFit="1" customWidth="1"/>
    <col min="20" max="20" width="9.28515625" style="35" bestFit="1" customWidth="1"/>
    <col min="21" max="21" width="9.85546875" style="35" bestFit="1" customWidth="1"/>
    <col min="22" max="22" width="17.28515625" style="60" customWidth="1"/>
    <col min="23" max="23" width="9.28515625" style="35" bestFit="1" customWidth="1"/>
    <col min="24" max="24" width="12.28515625" style="35" bestFit="1" customWidth="1"/>
    <col min="25" max="25" width="12.28515625" style="35" customWidth="1"/>
    <col min="26" max="27" width="10.140625" style="35" bestFit="1" customWidth="1"/>
    <col min="28" max="28" width="11.140625" style="35" customWidth="1"/>
    <col min="29" max="29" width="10.5703125" style="35" bestFit="1" customWidth="1"/>
    <col min="30" max="30" width="7.140625" style="36" customWidth="1"/>
    <col min="31" max="31" width="9.5703125" style="36" bestFit="1" customWidth="1"/>
    <col min="32" max="33" width="12.42578125" style="35" customWidth="1"/>
    <col min="34" max="34" width="8.85546875" style="35" bestFit="1" customWidth="1"/>
    <col min="35" max="35" width="6.140625" style="37" bestFit="1" customWidth="1"/>
    <col min="36" max="36" width="18" style="69" customWidth="1"/>
    <col min="37" max="37" width="11" style="35" bestFit="1" customWidth="1"/>
    <col min="38" max="38" width="10.7109375" style="35" bestFit="1" customWidth="1"/>
    <col min="39" max="39" width="8.28515625" style="35" bestFit="1" customWidth="1"/>
    <col min="40" max="40" width="12.28515625" style="35" bestFit="1" customWidth="1"/>
    <col min="41" max="41" width="16.140625" style="2" customWidth="1"/>
    <col min="42" max="42" width="8" style="35" bestFit="1" customWidth="1"/>
    <col min="43" max="43" width="7.140625" style="35" bestFit="1" customWidth="1"/>
    <col min="44" max="44" width="5.140625" style="35" bestFit="1" customWidth="1"/>
    <col min="45" max="45" width="9.42578125" style="35" bestFit="1" customWidth="1"/>
    <col min="46" max="46" width="10.140625" style="36" bestFit="1" customWidth="1"/>
    <col min="47" max="47" width="11" style="36" bestFit="1" customWidth="1"/>
    <col min="48" max="48" width="7" style="36" bestFit="1" customWidth="1"/>
    <col min="49" max="49" width="6" style="36" bestFit="1" customWidth="1"/>
    <col min="50" max="50" width="8" style="36" bestFit="1" customWidth="1"/>
    <col min="51" max="51" width="7.7109375" style="36" bestFit="1" customWidth="1"/>
    <col min="52" max="52" width="11.7109375" style="36" bestFit="1" customWidth="1"/>
    <col min="53" max="53" width="8.42578125" style="36" bestFit="1" customWidth="1"/>
    <col min="54" max="54" width="10.140625" style="41" bestFit="1" customWidth="1"/>
    <col min="55" max="55" width="63" style="13" customWidth="1"/>
    <col min="56" max="16384" width="0" style="13" hidden="1"/>
  </cols>
  <sheetData>
    <row r="1" spans="1:54" s="30" customFormat="1" ht="30" customHeight="1">
      <c r="A1" s="99" t="s">
        <v>27</v>
      </c>
      <c r="B1" s="100"/>
      <c r="C1" s="100"/>
      <c r="D1" s="100"/>
      <c r="E1" s="100"/>
      <c r="F1" s="100"/>
      <c r="G1" s="100"/>
      <c r="H1" s="100"/>
      <c r="I1" s="100"/>
      <c r="J1" s="100"/>
      <c r="K1" s="100"/>
      <c r="L1" s="100"/>
      <c r="M1" s="100"/>
      <c r="N1" s="100"/>
      <c r="O1" s="101"/>
      <c r="P1" s="114" t="s">
        <v>75</v>
      </c>
      <c r="Q1" s="115"/>
      <c r="R1" s="115"/>
      <c r="S1" s="115"/>
      <c r="T1" s="115"/>
      <c r="U1" s="115"/>
      <c r="V1" s="116"/>
      <c r="W1" s="102" t="s">
        <v>29</v>
      </c>
      <c r="X1" s="103"/>
      <c r="Y1" s="103"/>
      <c r="Z1" s="103"/>
      <c r="AA1" s="103"/>
      <c r="AB1" s="103"/>
      <c r="AC1" s="103"/>
      <c r="AD1" s="103"/>
      <c r="AE1" s="103"/>
      <c r="AF1" s="103"/>
      <c r="AG1" s="103"/>
      <c r="AH1" s="103"/>
      <c r="AI1" s="103"/>
      <c r="AJ1" s="104"/>
      <c r="AK1" s="174" t="s">
        <v>30</v>
      </c>
      <c r="AL1" s="174"/>
      <c r="AM1" s="174"/>
      <c r="AN1" s="174"/>
      <c r="AO1" s="174"/>
      <c r="AP1" s="175" t="s">
        <v>76</v>
      </c>
      <c r="AQ1" s="175"/>
      <c r="AR1" s="175"/>
      <c r="AS1" s="175"/>
      <c r="AT1" s="175"/>
      <c r="AU1" s="172" t="s">
        <v>77</v>
      </c>
      <c r="AV1" s="172"/>
      <c r="AW1" s="172"/>
      <c r="AX1" s="172"/>
      <c r="AY1" s="172"/>
      <c r="AZ1" s="172"/>
      <c r="BA1" s="172"/>
      <c r="BB1" s="173"/>
    </row>
    <row r="2" spans="1:54" s="1" customFormat="1" ht="50.25" customHeight="1">
      <c r="A2" s="52" t="s">
        <v>78</v>
      </c>
      <c r="B2" s="56" t="s">
        <v>79</v>
      </c>
      <c r="C2" s="51" t="s">
        <v>80</v>
      </c>
      <c r="D2" s="51" t="s">
        <v>81</v>
      </c>
      <c r="E2" s="54" t="s">
        <v>82</v>
      </c>
      <c r="F2" s="56" t="s">
        <v>83</v>
      </c>
      <c r="G2" s="56" t="s">
        <v>84</v>
      </c>
      <c r="H2" s="51" t="s">
        <v>85</v>
      </c>
      <c r="I2" s="51" t="s">
        <v>86</v>
      </c>
      <c r="J2" s="53" t="s">
        <v>87</v>
      </c>
      <c r="K2" s="50" t="s">
        <v>88</v>
      </c>
      <c r="L2" s="50" t="s">
        <v>89</v>
      </c>
      <c r="M2" s="49" t="s">
        <v>90</v>
      </c>
      <c r="N2" s="48" t="s">
        <v>91</v>
      </c>
      <c r="O2" s="48" t="s">
        <v>92</v>
      </c>
      <c r="P2" s="55" t="s">
        <v>93</v>
      </c>
      <c r="Q2" s="55" t="s">
        <v>94</v>
      </c>
      <c r="R2" s="55" t="s">
        <v>92</v>
      </c>
      <c r="S2" s="45" t="s">
        <v>95</v>
      </c>
      <c r="T2" s="55" t="s">
        <v>96</v>
      </c>
      <c r="U2" s="32" t="s">
        <v>97</v>
      </c>
      <c r="V2" s="31" t="s">
        <v>98</v>
      </c>
      <c r="W2" s="32" t="s">
        <v>99</v>
      </c>
      <c r="X2" s="32" t="s">
        <v>100</v>
      </c>
      <c r="Y2" s="32" t="s">
        <v>101</v>
      </c>
      <c r="Z2" s="32" t="s">
        <v>102</v>
      </c>
      <c r="AA2" s="32" t="s">
        <v>103</v>
      </c>
      <c r="AB2" s="32" t="s">
        <v>104</v>
      </c>
      <c r="AC2" s="32" t="s">
        <v>105</v>
      </c>
      <c r="AD2" s="31" t="s">
        <v>106</v>
      </c>
      <c r="AE2" s="31" t="s">
        <v>107</v>
      </c>
      <c r="AF2" s="32" t="s">
        <v>108</v>
      </c>
      <c r="AG2" s="32" t="s">
        <v>109</v>
      </c>
      <c r="AH2" s="32" t="s">
        <v>110</v>
      </c>
      <c r="AI2" s="32" t="s">
        <v>92</v>
      </c>
      <c r="AJ2" s="31" t="s">
        <v>111</v>
      </c>
      <c r="AK2" s="32" t="s">
        <v>112</v>
      </c>
      <c r="AL2" s="32" t="s">
        <v>113</v>
      </c>
      <c r="AM2" s="32" t="s">
        <v>114</v>
      </c>
      <c r="AN2" s="32" t="s">
        <v>115</v>
      </c>
      <c r="AO2" s="31" t="s">
        <v>111</v>
      </c>
      <c r="AP2" s="32" t="s">
        <v>116</v>
      </c>
      <c r="AQ2" s="32" t="s">
        <v>117</v>
      </c>
      <c r="AR2" s="32" t="s">
        <v>118</v>
      </c>
      <c r="AS2" s="32" t="s">
        <v>119</v>
      </c>
      <c r="AT2" s="31" t="s">
        <v>111</v>
      </c>
      <c r="AU2" s="31" t="s">
        <v>120</v>
      </c>
      <c r="AV2" s="31" t="s">
        <v>121</v>
      </c>
      <c r="AW2" s="31" t="s">
        <v>122</v>
      </c>
      <c r="AX2" s="31" t="s">
        <v>123</v>
      </c>
      <c r="AY2" s="31" t="s">
        <v>124</v>
      </c>
      <c r="AZ2" s="31" t="s">
        <v>125</v>
      </c>
      <c r="BA2" s="31" t="s">
        <v>126</v>
      </c>
      <c r="BB2" s="39" t="s">
        <v>111</v>
      </c>
    </row>
    <row r="3" spans="1:54" ht="30" customHeight="1">
      <c r="A3" s="40">
        <v>1</v>
      </c>
      <c r="B3" s="33">
        <v>46210</v>
      </c>
      <c r="C3" s="2" t="s">
        <v>127</v>
      </c>
      <c r="D3" s="25" t="s">
        <v>128</v>
      </c>
      <c r="E3" s="2" t="s">
        <v>129</v>
      </c>
      <c r="F3" s="68" t="s">
        <v>38</v>
      </c>
      <c r="G3" s="68" t="s">
        <v>130</v>
      </c>
      <c r="H3" s="25">
        <v>0</v>
      </c>
      <c r="I3" s="2"/>
      <c r="J3" s="2">
        <v>1</v>
      </c>
      <c r="K3" s="33">
        <v>46211</v>
      </c>
      <c r="L3" s="33">
        <v>46211</v>
      </c>
      <c r="M3" s="46">
        <v>0.9</v>
      </c>
      <c r="N3" s="2" t="s">
        <v>131</v>
      </c>
      <c r="O3" s="2">
        <f>IF(OR(K3="",L3=""),"",SIGN(L3-K3)*(NETWORKDAYS(MIN(K3,L3),MAX(K3,L3))-1))</f>
        <v>0</v>
      </c>
      <c r="P3" s="33">
        <v>46233</v>
      </c>
      <c r="Q3" s="33">
        <v>46218</v>
      </c>
      <c r="R3" s="34">
        <f>IF(OR(P3="",Q3=""),"",SIGN(Q3-P3)*(NETWORKDAYS(MIN(P3,Q3),MAX(P3,Q3))-1))</f>
        <v>-11</v>
      </c>
      <c r="S3" s="2" t="str">
        <f>IF(AND(M3&gt;=90%,M3&lt;=100%),"Yes","No")</f>
        <v>Yes</v>
      </c>
      <c r="T3" s="33">
        <v>46234</v>
      </c>
      <c r="U3" s="33">
        <v>46280</v>
      </c>
      <c r="V3" s="58" t="s">
        <v>132</v>
      </c>
      <c r="W3" s="35">
        <v>46237</v>
      </c>
      <c r="X3" s="35">
        <v>46244</v>
      </c>
      <c r="Z3" s="35">
        <v>46238</v>
      </c>
      <c r="AA3" s="35">
        <v>46241</v>
      </c>
      <c r="AB3" s="35">
        <v>46241</v>
      </c>
      <c r="AC3" s="35">
        <v>46262</v>
      </c>
      <c r="AD3" s="36">
        <v>10</v>
      </c>
      <c r="AE3" s="2" t="s">
        <v>133</v>
      </c>
      <c r="AF3" s="35">
        <f t="shared" ref="AF3:AF21" si="0">IF(OR(T3="",AE3=""),"",WORKDAY(T3,IF(AE3="Low",30,IF(AE3="Medium",45,IF(AE3="High",60,"")))))</f>
        <v>46297</v>
      </c>
      <c r="AH3" s="35">
        <v>46266</v>
      </c>
      <c r="AI3" s="37" t="str">
        <f>IF(OR(U3="",AG3=""),"",SIGN(AG3-U3)*(NETWORKDAYS(MIN(U3,AG3),MAX(U3,AG3))-1))</f>
        <v/>
      </c>
      <c r="AJ3" s="69" t="s">
        <v>134</v>
      </c>
      <c r="AQ3" s="33"/>
    </row>
    <row r="4" spans="1:54" ht="30" customHeight="1">
      <c r="A4" s="40">
        <v>2</v>
      </c>
      <c r="B4" s="33">
        <v>46210</v>
      </c>
      <c r="C4" s="2" t="s">
        <v>127</v>
      </c>
      <c r="D4" s="25" t="s">
        <v>135</v>
      </c>
      <c r="E4" s="2" t="s">
        <v>129</v>
      </c>
      <c r="F4" s="68" t="s">
        <v>37</v>
      </c>
      <c r="G4" s="68" t="s">
        <v>130</v>
      </c>
      <c r="H4" s="25">
        <v>0</v>
      </c>
      <c r="I4" s="2" t="s">
        <v>136</v>
      </c>
      <c r="J4" s="2">
        <v>1</v>
      </c>
      <c r="K4" s="33">
        <v>46211</v>
      </c>
      <c r="L4" s="33">
        <v>46233</v>
      </c>
      <c r="M4" s="46">
        <v>0.9</v>
      </c>
      <c r="N4" s="2" t="s">
        <v>131</v>
      </c>
      <c r="O4" s="2">
        <f>IF(OR(K4="",L4=""),"",SIGN(L4-K4)*(NETWORKDAYS(MIN(K4,L4),MAX(K4,L4))-1))</f>
        <v>16</v>
      </c>
      <c r="P4" s="33">
        <v>46233</v>
      </c>
      <c r="Q4" s="33">
        <v>46233</v>
      </c>
      <c r="R4" s="34">
        <f t="shared" ref="R4:R21" si="1">IF(OR(P4="",Q4=""),"",SIGN(Q4-P4)*(NETWORKDAYS(MIN(P4,Q4),MAX(P4,Q4))-1))</f>
        <v>0</v>
      </c>
      <c r="S4" s="2" t="str">
        <f>IF(AND(M4&gt;=90%,M4&lt;=100%),"Yes","No")</f>
        <v>Yes</v>
      </c>
      <c r="T4" s="33">
        <v>46234</v>
      </c>
      <c r="U4" s="33">
        <v>46280</v>
      </c>
      <c r="V4" s="58" t="s">
        <v>132</v>
      </c>
      <c r="W4" s="35">
        <v>46237</v>
      </c>
      <c r="X4" s="35">
        <v>46244</v>
      </c>
      <c r="Z4" s="35">
        <v>46238</v>
      </c>
      <c r="AA4" s="35">
        <v>46241</v>
      </c>
      <c r="AB4" s="35">
        <v>46241</v>
      </c>
      <c r="AC4" s="35">
        <v>46262</v>
      </c>
      <c r="AD4" s="36">
        <v>10</v>
      </c>
      <c r="AE4" s="2" t="s">
        <v>133</v>
      </c>
      <c r="AF4" s="35">
        <f t="shared" si="0"/>
        <v>46297</v>
      </c>
      <c r="AH4" s="35">
        <v>46266</v>
      </c>
      <c r="AI4" s="37" t="str">
        <f t="shared" ref="AI4:AI21" si="2">IF(OR(U4="",AG4=""),"",SIGN(AG4-U4)*(NETWORKDAYS(MIN(U4,AG4),MAX(U4,AG4))-1))</f>
        <v/>
      </c>
    </row>
    <row r="5" spans="1:54" ht="30" customHeight="1">
      <c r="A5" s="40">
        <v>3</v>
      </c>
      <c r="B5" s="33">
        <v>46210</v>
      </c>
      <c r="C5" s="2" t="s">
        <v>127</v>
      </c>
      <c r="D5" s="25" t="s">
        <v>137</v>
      </c>
      <c r="E5" s="2" t="s">
        <v>129</v>
      </c>
      <c r="F5" s="68" t="s">
        <v>38</v>
      </c>
      <c r="G5" s="68" t="s">
        <v>130</v>
      </c>
      <c r="H5" s="25">
        <v>0</v>
      </c>
      <c r="I5" s="2"/>
      <c r="J5" s="2">
        <v>1</v>
      </c>
      <c r="K5" s="33">
        <v>46211</v>
      </c>
      <c r="L5" s="33">
        <v>46211</v>
      </c>
      <c r="M5" s="46">
        <v>0.9</v>
      </c>
      <c r="N5" s="2" t="s">
        <v>131</v>
      </c>
      <c r="O5" s="2">
        <f t="shared" ref="O5:O21" si="3">IF(OR(K5="",L5=""),"",SIGN(L5-K5)*(NETWORKDAYS(MIN(K5,L5),MAX(K5,L5))-1))</f>
        <v>0</v>
      </c>
      <c r="P5" s="33">
        <v>46233</v>
      </c>
      <c r="Q5" s="33">
        <v>46218</v>
      </c>
      <c r="R5" s="34">
        <f t="shared" si="1"/>
        <v>-11</v>
      </c>
      <c r="S5" s="2" t="str">
        <f t="shared" ref="S5:S21" si="4">IF(AND(M5&gt;=90%,M5&lt;=100%),"Yes","No")</f>
        <v>Yes</v>
      </c>
      <c r="T5" s="33">
        <v>46234</v>
      </c>
      <c r="U5" s="33">
        <v>46280</v>
      </c>
      <c r="V5" s="58" t="s">
        <v>132</v>
      </c>
      <c r="W5" s="35">
        <v>46237</v>
      </c>
      <c r="X5" s="35">
        <v>46244</v>
      </c>
      <c r="Z5" s="35">
        <v>46238</v>
      </c>
      <c r="AA5" s="35">
        <v>46241</v>
      </c>
      <c r="AB5" s="35">
        <v>46241</v>
      </c>
      <c r="AC5" s="35">
        <v>46262</v>
      </c>
      <c r="AD5" s="36">
        <v>10</v>
      </c>
      <c r="AE5" s="2" t="s">
        <v>133</v>
      </c>
      <c r="AF5" s="35">
        <f t="shared" si="0"/>
        <v>46297</v>
      </c>
      <c r="AH5" s="35">
        <v>46266</v>
      </c>
      <c r="AI5" s="37" t="str">
        <f t="shared" si="2"/>
        <v/>
      </c>
    </row>
    <row r="6" spans="1:54" ht="30" customHeight="1">
      <c r="A6" s="40">
        <v>4</v>
      </c>
      <c r="B6" s="33">
        <v>46210</v>
      </c>
      <c r="C6" s="2" t="s">
        <v>127</v>
      </c>
      <c r="D6" s="25" t="s">
        <v>138</v>
      </c>
      <c r="E6" s="2" t="s">
        <v>129</v>
      </c>
      <c r="F6" s="68" t="s">
        <v>38</v>
      </c>
      <c r="G6" s="68" t="s">
        <v>130</v>
      </c>
      <c r="H6" s="25">
        <v>0</v>
      </c>
      <c r="I6" s="2" t="s">
        <v>136</v>
      </c>
      <c r="J6" s="2">
        <v>1</v>
      </c>
      <c r="K6" s="33">
        <v>46211</v>
      </c>
      <c r="L6" s="33">
        <v>46233</v>
      </c>
      <c r="M6" s="46">
        <v>0.9</v>
      </c>
      <c r="N6" s="2" t="s">
        <v>131</v>
      </c>
      <c r="O6" s="2">
        <f t="shared" si="3"/>
        <v>16</v>
      </c>
      <c r="P6" s="33">
        <v>46233</v>
      </c>
      <c r="Q6" s="33">
        <v>46233</v>
      </c>
      <c r="R6" s="34">
        <f t="shared" si="1"/>
        <v>0</v>
      </c>
      <c r="S6" s="2" t="str">
        <f t="shared" si="4"/>
        <v>Yes</v>
      </c>
      <c r="T6" s="33">
        <v>46234</v>
      </c>
      <c r="U6" s="33">
        <v>46280</v>
      </c>
      <c r="V6" s="59" t="s">
        <v>132</v>
      </c>
      <c r="W6" s="35">
        <v>46237</v>
      </c>
      <c r="X6" s="35">
        <v>46244</v>
      </c>
      <c r="Z6" s="35">
        <v>46238</v>
      </c>
      <c r="AA6" s="35">
        <v>46241</v>
      </c>
      <c r="AB6" s="35">
        <v>46241</v>
      </c>
      <c r="AC6" s="35">
        <v>46262</v>
      </c>
      <c r="AD6" s="36">
        <v>10</v>
      </c>
      <c r="AE6" s="2" t="s">
        <v>133</v>
      </c>
      <c r="AF6" s="35">
        <f t="shared" si="0"/>
        <v>46297</v>
      </c>
      <c r="AH6" s="35">
        <v>46266</v>
      </c>
      <c r="AI6" s="37" t="str">
        <f t="shared" si="2"/>
        <v/>
      </c>
    </row>
    <row r="7" spans="1:54" ht="30" customHeight="1">
      <c r="A7" s="40">
        <v>5</v>
      </c>
      <c r="B7" s="33">
        <v>46210</v>
      </c>
      <c r="C7" s="2" t="s">
        <v>127</v>
      </c>
      <c r="D7" s="25" t="s">
        <v>139</v>
      </c>
      <c r="E7" s="2" t="s">
        <v>129</v>
      </c>
      <c r="F7" s="68" t="s">
        <v>38</v>
      </c>
      <c r="G7" s="68" t="s">
        <v>130</v>
      </c>
      <c r="H7" s="25">
        <v>0</v>
      </c>
      <c r="I7" s="2"/>
      <c r="J7" s="2">
        <v>2</v>
      </c>
      <c r="K7" s="33">
        <v>46211</v>
      </c>
      <c r="L7" s="33">
        <v>46211</v>
      </c>
      <c r="M7" s="46">
        <v>0.9</v>
      </c>
      <c r="N7" s="2" t="s">
        <v>131</v>
      </c>
      <c r="O7" s="2">
        <f t="shared" si="3"/>
        <v>0</v>
      </c>
      <c r="P7" s="33">
        <v>46233</v>
      </c>
      <c r="Q7" s="33">
        <v>46218</v>
      </c>
      <c r="R7" s="34">
        <f t="shared" si="1"/>
        <v>-11</v>
      </c>
      <c r="S7" s="2" t="str">
        <f t="shared" si="4"/>
        <v>Yes</v>
      </c>
      <c r="T7" s="33">
        <v>46234</v>
      </c>
      <c r="U7" s="33">
        <v>46280</v>
      </c>
      <c r="V7" s="58" t="s">
        <v>132</v>
      </c>
      <c r="W7" s="35">
        <v>46237</v>
      </c>
      <c r="X7" s="35">
        <v>46244</v>
      </c>
      <c r="Z7" s="35">
        <v>46238</v>
      </c>
      <c r="AA7" s="35">
        <v>46241</v>
      </c>
      <c r="AB7" s="35">
        <v>46241</v>
      </c>
      <c r="AC7" s="35">
        <v>46262</v>
      </c>
      <c r="AD7" s="36">
        <v>10</v>
      </c>
      <c r="AE7" s="2" t="s">
        <v>133</v>
      </c>
      <c r="AF7" s="35">
        <f t="shared" si="0"/>
        <v>46297</v>
      </c>
      <c r="AH7" s="35">
        <v>46266</v>
      </c>
      <c r="AI7" s="37" t="str">
        <f t="shared" si="2"/>
        <v/>
      </c>
    </row>
    <row r="8" spans="1:54" ht="30" customHeight="1">
      <c r="A8" s="40">
        <v>6</v>
      </c>
      <c r="B8" s="33">
        <v>46210</v>
      </c>
      <c r="C8" s="2" t="s">
        <v>127</v>
      </c>
      <c r="D8" s="25" t="s">
        <v>140</v>
      </c>
      <c r="E8" s="2" t="s">
        <v>129</v>
      </c>
      <c r="F8" s="68" t="s">
        <v>38</v>
      </c>
      <c r="G8" s="68" t="s">
        <v>130</v>
      </c>
      <c r="H8" s="25">
        <v>0</v>
      </c>
      <c r="I8" s="2"/>
      <c r="J8" s="2">
        <v>1</v>
      </c>
      <c r="K8" s="33">
        <v>46211</v>
      </c>
      <c r="L8" s="33">
        <v>46211</v>
      </c>
      <c r="M8" s="46">
        <v>0.9</v>
      </c>
      <c r="N8" s="2" t="s">
        <v>131</v>
      </c>
      <c r="O8" s="2">
        <f t="shared" si="3"/>
        <v>0</v>
      </c>
      <c r="P8" s="33">
        <v>46233</v>
      </c>
      <c r="Q8" s="33">
        <v>46218</v>
      </c>
      <c r="R8" s="34">
        <f t="shared" si="1"/>
        <v>-11</v>
      </c>
      <c r="S8" s="2" t="str">
        <f t="shared" si="4"/>
        <v>Yes</v>
      </c>
      <c r="T8" s="33">
        <v>46234</v>
      </c>
      <c r="U8" s="33">
        <v>46280</v>
      </c>
      <c r="V8" s="58"/>
      <c r="W8" s="35">
        <v>46237</v>
      </c>
      <c r="X8" s="35">
        <v>46196</v>
      </c>
      <c r="Z8" s="35">
        <v>46238</v>
      </c>
      <c r="AA8" s="35">
        <v>46251</v>
      </c>
      <c r="AB8" s="35">
        <v>46251</v>
      </c>
      <c r="AC8" s="35">
        <v>46262</v>
      </c>
      <c r="AD8" s="36">
        <v>10</v>
      </c>
      <c r="AE8" s="2" t="s">
        <v>141</v>
      </c>
      <c r="AF8" s="35">
        <f t="shared" si="0"/>
        <v>46276</v>
      </c>
      <c r="AH8" s="35">
        <v>46266</v>
      </c>
      <c r="AI8" s="37" t="str">
        <f t="shared" si="2"/>
        <v/>
      </c>
      <c r="AK8" s="35">
        <v>46286</v>
      </c>
      <c r="AO8" s="95" t="s">
        <v>142</v>
      </c>
    </row>
    <row r="9" spans="1:54" ht="30" customHeight="1">
      <c r="A9" s="40">
        <v>7</v>
      </c>
      <c r="B9" s="33">
        <v>46210</v>
      </c>
      <c r="C9" s="2" t="s">
        <v>127</v>
      </c>
      <c r="D9" s="25" t="s">
        <v>143</v>
      </c>
      <c r="E9" s="2" t="s">
        <v>129</v>
      </c>
      <c r="F9" s="68" t="s">
        <v>37</v>
      </c>
      <c r="G9" s="68" t="s">
        <v>130</v>
      </c>
      <c r="H9" s="25">
        <v>0</v>
      </c>
      <c r="I9" s="2"/>
      <c r="J9" s="2">
        <v>1</v>
      </c>
      <c r="K9" s="33">
        <v>46211</v>
      </c>
      <c r="L9" s="33">
        <v>46211</v>
      </c>
      <c r="M9" s="46">
        <v>0.9</v>
      </c>
      <c r="N9" s="2" t="s">
        <v>131</v>
      </c>
      <c r="O9" s="2">
        <f t="shared" si="3"/>
        <v>0</v>
      </c>
      <c r="P9" s="33">
        <v>46233</v>
      </c>
      <c r="Q9" s="33">
        <v>46218</v>
      </c>
      <c r="R9" s="34">
        <f t="shared" si="1"/>
        <v>-11</v>
      </c>
      <c r="S9" s="2" t="str">
        <f t="shared" si="4"/>
        <v>Yes</v>
      </c>
      <c r="T9" s="33">
        <v>46234</v>
      </c>
      <c r="U9" s="33">
        <v>46280</v>
      </c>
      <c r="V9" s="58"/>
      <c r="W9" s="35">
        <v>46237</v>
      </c>
      <c r="X9" s="35">
        <v>46196</v>
      </c>
      <c r="Z9" s="35">
        <v>46238</v>
      </c>
      <c r="AA9" s="35">
        <v>46251</v>
      </c>
      <c r="AB9" s="35">
        <v>46251</v>
      </c>
      <c r="AC9" s="35">
        <v>46262</v>
      </c>
      <c r="AD9" s="36">
        <v>10</v>
      </c>
      <c r="AE9" s="2" t="s">
        <v>133</v>
      </c>
      <c r="AF9" s="35">
        <f t="shared" si="0"/>
        <v>46297</v>
      </c>
      <c r="AH9" s="35">
        <v>46266</v>
      </c>
      <c r="AI9" s="37" t="str">
        <f t="shared" si="2"/>
        <v/>
      </c>
      <c r="AK9" s="35">
        <v>46286</v>
      </c>
    </row>
    <row r="10" spans="1:54" ht="30" customHeight="1">
      <c r="A10" s="40">
        <v>8</v>
      </c>
      <c r="B10" s="33">
        <v>46210</v>
      </c>
      <c r="C10" s="2" t="s">
        <v>127</v>
      </c>
      <c r="D10" s="25" t="s">
        <v>144</v>
      </c>
      <c r="E10" s="2" t="s">
        <v>129</v>
      </c>
      <c r="F10" s="68" t="s">
        <v>37</v>
      </c>
      <c r="G10" s="68" t="s">
        <v>130</v>
      </c>
      <c r="H10" s="25">
        <v>0</v>
      </c>
      <c r="I10" s="2"/>
      <c r="J10" s="2">
        <v>1</v>
      </c>
      <c r="K10" s="33">
        <v>46211</v>
      </c>
      <c r="L10" s="33">
        <v>46211</v>
      </c>
      <c r="M10" s="46">
        <v>0.9</v>
      </c>
      <c r="N10" s="2" t="s">
        <v>131</v>
      </c>
      <c r="O10" s="2">
        <f t="shared" si="3"/>
        <v>0</v>
      </c>
      <c r="P10" s="33">
        <v>46233</v>
      </c>
      <c r="Q10" s="33">
        <v>46218</v>
      </c>
      <c r="R10" s="34">
        <f t="shared" si="1"/>
        <v>-11</v>
      </c>
      <c r="S10" s="2" t="str">
        <f t="shared" si="4"/>
        <v>Yes</v>
      </c>
      <c r="T10" s="33">
        <v>46234</v>
      </c>
      <c r="U10" s="33">
        <v>46280</v>
      </c>
      <c r="V10" s="58"/>
      <c r="W10" s="35">
        <v>46237</v>
      </c>
      <c r="X10" s="35">
        <v>46196</v>
      </c>
      <c r="Z10" s="35">
        <v>46238</v>
      </c>
      <c r="AA10" s="35">
        <v>46251</v>
      </c>
      <c r="AB10" s="35">
        <v>46251</v>
      </c>
      <c r="AC10" s="35">
        <v>46262</v>
      </c>
      <c r="AD10" s="36">
        <v>10</v>
      </c>
      <c r="AE10" s="2" t="s">
        <v>133</v>
      </c>
      <c r="AF10" s="35">
        <f t="shared" si="0"/>
        <v>46297</v>
      </c>
      <c r="AH10" s="35">
        <v>46266</v>
      </c>
      <c r="AI10" s="37" t="str">
        <f t="shared" si="2"/>
        <v/>
      </c>
      <c r="AK10" s="35">
        <v>46286</v>
      </c>
    </row>
    <row r="11" spans="1:54" ht="30" customHeight="1">
      <c r="A11" s="40">
        <v>9</v>
      </c>
      <c r="B11" s="33">
        <v>46210</v>
      </c>
      <c r="C11" s="2" t="s">
        <v>127</v>
      </c>
      <c r="D11" s="25" t="s">
        <v>145</v>
      </c>
      <c r="E11" s="2" t="s">
        <v>129</v>
      </c>
      <c r="F11" s="68" t="s">
        <v>37</v>
      </c>
      <c r="G11" s="68" t="s">
        <v>130</v>
      </c>
      <c r="H11" s="25">
        <v>0</v>
      </c>
      <c r="I11" s="2"/>
      <c r="J11" s="2">
        <v>1</v>
      </c>
      <c r="K11" s="33">
        <v>46211</v>
      </c>
      <c r="L11" s="33">
        <v>46211</v>
      </c>
      <c r="M11" s="46">
        <v>0.9</v>
      </c>
      <c r="N11" s="2" t="s">
        <v>131</v>
      </c>
      <c r="O11" s="2">
        <f t="shared" si="3"/>
        <v>0</v>
      </c>
      <c r="P11" s="33">
        <v>46233</v>
      </c>
      <c r="Q11" s="33">
        <v>46218</v>
      </c>
      <c r="R11" s="34">
        <f t="shared" si="1"/>
        <v>-11</v>
      </c>
      <c r="S11" s="2" t="str">
        <f t="shared" si="4"/>
        <v>Yes</v>
      </c>
      <c r="T11" s="33">
        <v>46234</v>
      </c>
      <c r="U11" s="33">
        <v>46280</v>
      </c>
      <c r="V11" s="58"/>
      <c r="W11" s="35">
        <v>46237</v>
      </c>
      <c r="X11" s="35">
        <v>46196</v>
      </c>
      <c r="Z11" s="35">
        <v>46238</v>
      </c>
      <c r="AA11" s="35">
        <v>46254</v>
      </c>
      <c r="AB11" s="35">
        <v>46251</v>
      </c>
      <c r="AC11" s="35">
        <v>46262</v>
      </c>
      <c r="AD11" s="36">
        <v>10</v>
      </c>
      <c r="AE11" s="2" t="s">
        <v>133</v>
      </c>
      <c r="AF11" s="35">
        <f t="shared" si="0"/>
        <v>46297</v>
      </c>
      <c r="AH11" s="35">
        <v>46266</v>
      </c>
      <c r="AI11" s="37" t="str">
        <f t="shared" si="2"/>
        <v/>
      </c>
      <c r="AK11" s="35">
        <v>46286</v>
      </c>
    </row>
    <row r="12" spans="1:54" ht="30" customHeight="1">
      <c r="A12" s="40">
        <v>10</v>
      </c>
      <c r="B12" s="33">
        <v>46210</v>
      </c>
      <c r="C12" s="2" t="s">
        <v>127</v>
      </c>
      <c r="D12" s="25" t="s">
        <v>146</v>
      </c>
      <c r="E12" s="2" t="s">
        <v>129</v>
      </c>
      <c r="F12" s="68" t="s">
        <v>37</v>
      </c>
      <c r="G12" s="68" t="s">
        <v>130</v>
      </c>
      <c r="H12" s="25">
        <v>0</v>
      </c>
      <c r="I12" s="2"/>
      <c r="J12" s="2">
        <v>1</v>
      </c>
      <c r="K12" s="33">
        <v>46211</v>
      </c>
      <c r="L12" s="33">
        <v>46211</v>
      </c>
      <c r="M12" s="46">
        <v>0.9</v>
      </c>
      <c r="N12" s="2" t="s">
        <v>131</v>
      </c>
      <c r="O12" s="2">
        <f t="shared" si="3"/>
        <v>0</v>
      </c>
      <c r="P12" s="33">
        <v>46233</v>
      </c>
      <c r="Q12" s="33">
        <v>46218</v>
      </c>
      <c r="R12" s="34">
        <f t="shared" si="1"/>
        <v>-11</v>
      </c>
      <c r="S12" s="2" t="str">
        <f t="shared" si="4"/>
        <v>Yes</v>
      </c>
      <c r="T12" s="33">
        <v>46234</v>
      </c>
      <c r="U12" s="33">
        <v>46280</v>
      </c>
      <c r="V12" s="58"/>
      <c r="W12" s="35">
        <v>46237</v>
      </c>
      <c r="X12" s="35">
        <v>46196</v>
      </c>
      <c r="Z12" s="35">
        <v>46238</v>
      </c>
      <c r="AA12" s="35">
        <v>46251</v>
      </c>
      <c r="AB12" s="35">
        <v>46251</v>
      </c>
      <c r="AC12" s="35">
        <v>46262</v>
      </c>
      <c r="AD12" s="36">
        <v>10</v>
      </c>
      <c r="AE12" s="2" t="s">
        <v>133</v>
      </c>
      <c r="AF12" s="35">
        <f t="shared" si="0"/>
        <v>46297</v>
      </c>
      <c r="AH12" s="35">
        <v>46266</v>
      </c>
      <c r="AI12" s="37" t="str">
        <f t="shared" si="2"/>
        <v/>
      </c>
      <c r="AK12" s="35">
        <v>46286</v>
      </c>
    </row>
    <row r="13" spans="1:54" ht="30" customHeight="1">
      <c r="A13" s="40">
        <v>11</v>
      </c>
      <c r="B13" s="33">
        <v>46210</v>
      </c>
      <c r="C13" s="2" t="s">
        <v>127</v>
      </c>
      <c r="D13" s="25" t="s">
        <v>147</v>
      </c>
      <c r="E13" s="2" t="s">
        <v>129</v>
      </c>
      <c r="F13" s="68" t="s">
        <v>37</v>
      </c>
      <c r="G13" s="68" t="s">
        <v>130</v>
      </c>
      <c r="H13" s="25">
        <v>0</v>
      </c>
      <c r="I13" s="2"/>
      <c r="J13" s="2">
        <v>6</v>
      </c>
      <c r="K13" s="33">
        <v>46211</v>
      </c>
      <c r="L13" s="33">
        <v>46211</v>
      </c>
      <c r="M13" s="46">
        <v>0.9</v>
      </c>
      <c r="N13" s="2" t="s">
        <v>131</v>
      </c>
      <c r="O13" s="2">
        <f t="shared" si="3"/>
        <v>0</v>
      </c>
      <c r="P13" s="33">
        <v>46233</v>
      </c>
      <c r="Q13" s="33">
        <v>46218</v>
      </c>
      <c r="R13" s="34">
        <f t="shared" si="1"/>
        <v>-11</v>
      </c>
      <c r="S13" s="2" t="str">
        <f t="shared" si="4"/>
        <v>Yes</v>
      </c>
      <c r="T13" s="33">
        <v>46234</v>
      </c>
      <c r="U13" s="33">
        <v>46280</v>
      </c>
      <c r="V13" s="58"/>
      <c r="W13" s="35">
        <v>46237</v>
      </c>
      <c r="X13" s="35">
        <v>46196</v>
      </c>
      <c r="Z13" s="35">
        <v>46238</v>
      </c>
      <c r="AA13" s="35">
        <v>46251</v>
      </c>
      <c r="AB13" s="35">
        <v>46251</v>
      </c>
      <c r="AC13" s="35">
        <v>46262</v>
      </c>
      <c r="AD13" s="36">
        <v>10</v>
      </c>
      <c r="AE13" s="2" t="s">
        <v>133</v>
      </c>
      <c r="AF13" s="35">
        <f t="shared" si="0"/>
        <v>46297</v>
      </c>
      <c r="AH13" s="35">
        <v>46266</v>
      </c>
      <c r="AI13" s="37" t="str">
        <f t="shared" si="2"/>
        <v/>
      </c>
      <c r="AK13" s="35">
        <v>46286</v>
      </c>
    </row>
    <row r="14" spans="1:54" ht="30" customHeight="1">
      <c r="A14" s="40">
        <v>12</v>
      </c>
      <c r="B14" s="33">
        <v>46210</v>
      </c>
      <c r="C14" s="2" t="s">
        <v>127</v>
      </c>
      <c r="D14" s="25" t="s">
        <v>148</v>
      </c>
      <c r="E14" s="2" t="s">
        <v>129</v>
      </c>
      <c r="F14" s="68" t="s">
        <v>37</v>
      </c>
      <c r="G14" s="68" t="s">
        <v>130</v>
      </c>
      <c r="H14" s="25">
        <v>0</v>
      </c>
      <c r="I14" s="2"/>
      <c r="J14" s="2">
        <v>1</v>
      </c>
      <c r="K14" s="33">
        <v>46211</v>
      </c>
      <c r="L14" s="33">
        <v>46211</v>
      </c>
      <c r="M14" s="46">
        <v>0.9</v>
      </c>
      <c r="N14" s="2" t="s">
        <v>131</v>
      </c>
      <c r="O14" s="2">
        <f t="shared" si="3"/>
        <v>0</v>
      </c>
      <c r="P14" s="33">
        <v>46233</v>
      </c>
      <c r="Q14" s="33">
        <v>46218</v>
      </c>
      <c r="R14" s="34">
        <f t="shared" si="1"/>
        <v>-11</v>
      </c>
      <c r="S14" s="2" t="str">
        <f t="shared" si="4"/>
        <v>Yes</v>
      </c>
      <c r="T14" s="33">
        <v>46234</v>
      </c>
      <c r="U14" s="33">
        <v>46280</v>
      </c>
      <c r="V14" s="58"/>
      <c r="W14" s="35">
        <v>46237</v>
      </c>
      <c r="X14" s="35">
        <v>46196</v>
      </c>
      <c r="Z14" s="35">
        <v>46238</v>
      </c>
      <c r="AA14" s="35">
        <v>46251</v>
      </c>
      <c r="AB14" s="35">
        <v>46251</v>
      </c>
      <c r="AC14" s="35">
        <v>46262</v>
      </c>
      <c r="AD14" s="36">
        <v>10</v>
      </c>
      <c r="AE14" s="2" t="s">
        <v>133</v>
      </c>
      <c r="AF14" s="35">
        <f t="shared" si="0"/>
        <v>46297</v>
      </c>
      <c r="AH14" s="35">
        <v>46266</v>
      </c>
      <c r="AI14" s="37" t="str">
        <f t="shared" si="2"/>
        <v/>
      </c>
      <c r="AK14" s="35">
        <v>46286</v>
      </c>
    </row>
    <row r="15" spans="1:54" ht="30" customHeight="1">
      <c r="A15" s="40">
        <v>13</v>
      </c>
      <c r="B15" s="33">
        <v>46210</v>
      </c>
      <c r="C15" s="2" t="s">
        <v>127</v>
      </c>
      <c r="D15" s="25" t="s">
        <v>149</v>
      </c>
      <c r="E15" s="2" t="s">
        <v>129</v>
      </c>
      <c r="F15" s="68" t="s">
        <v>38</v>
      </c>
      <c r="G15" s="68" t="s">
        <v>130</v>
      </c>
      <c r="H15" s="25">
        <v>0</v>
      </c>
      <c r="I15" s="2"/>
      <c r="J15" s="2">
        <v>1</v>
      </c>
      <c r="K15" s="33">
        <v>46211</v>
      </c>
      <c r="L15" s="33">
        <v>46211</v>
      </c>
      <c r="M15" s="46">
        <v>0.9</v>
      </c>
      <c r="N15" s="2" t="s">
        <v>131</v>
      </c>
      <c r="O15" s="2">
        <f t="shared" si="3"/>
        <v>0</v>
      </c>
      <c r="P15" s="33">
        <v>46233</v>
      </c>
      <c r="Q15" s="33">
        <v>46218</v>
      </c>
      <c r="R15" s="34">
        <f t="shared" si="1"/>
        <v>-11</v>
      </c>
      <c r="S15" s="2" t="str">
        <f t="shared" si="4"/>
        <v>Yes</v>
      </c>
      <c r="T15" s="33">
        <v>46234</v>
      </c>
      <c r="U15" s="33">
        <v>46280</v>
      </c>
      <c r="V15" s="58"/>
      <c r="W15" s="35">
        <v>46237</v>
      </c>
      <c r="X15" s="35">
        <v>46196</v>
      </c>
      <c r="Z15" s="35">
        <v>46238</v>
      </c>
      <c r="AA15" s="35">
        <v>46251</v>
      </c>
      <c r="AB15" s="35">
        <v>46251</v>
      </c>
      <c r="AC15" s="35">
        <v>46262</v>
      </c>
      <c r="AD15" s="36">
        <v>10</v>
      </c>
      <c r="AE15" s="2" t="s">
        <v>133</v>
      </c>
      <c r="AF15" s="35">
        <f t="shared" si="0"/>
        <v>46297</v>
      </c>
      <c r="AH15" s="35">
        <v>46266</v>
      </c>
      <c r="AI15" s="37" t="str">
        <f t="shared" si="2"/>
        <v/>
      </c>
      <c r="AK15" s="35">
        <v>46286</v>
      </c>
    </row>
    <row r="16" spans="1:54" ht="30" customHeight="1">
      <c r="A16" s="40">
        <v>14</v>
      </c>
      <c r="B16" s="33">
        <v>46210</v>
      </c>
      <c r="C16" s="2" t="s">
        <v>127</v>
      </c>
      <c r="D16" s="25" t="s">
        <v>150</v>
      </c>
      <c r="E16" s="2" t="s">
        <v>129</v>
      </c>
      <c r="F16" s="68" t="s">
        <v>37</v>
      </c>
      <c r="G16" s="68" t="s">
        <v>130</v>
      </c>
      <c r="H16" s="25">
        <v>0</v>
      </c>
      <c r="I16" s="2"/>
      <c r="J16" s="2">
        <v>2</v>
      </c>
      <c r="K16" s="33">
        <v>46211</v>
      </c>
      <c r="L16" s="33">
        <v>46211</v>
      </c>
      <c r="M16" s="46">
        <v>0.9</v>
      </c>
      <c r="N16" s="2" t="s">
        <v>131</v>
      </c>
      <c r="O16" s="2">
        <f t="shared" si="3"/>
        <v>0</v>
      </c>
      <c r="P16" s="33">
        <v>46233</v>
      </c>
      <c r="Q16" s="33">
        <v>46218</v>
      </c>
      <c r="R16" s="34">
        <f t="shared" si="1"/>
        <v>-11</v>
      </c>
      <c r="S16" s="2" t="str">
        <f t="shared" si="4"/>
        <v>Yes</v>
      </c>
      <c r="T16" s="33">
        <v>46234</v>
      </c>
      <c r="U16" s="33">
        <v>46280</v>
      </c>
      <c r="V16" s="58" t="s">
        <v>151</v>
      </c>
      <c r="W16" s="35">
        <v>46237</v>
      </c>
      <c r="X16" s="35">
        <v>46244</v>
      </c>
      <c r="Z16" s="35">
        <v>46239</v>
      </c>
      <c r="AA16" s="35">
        <v>46251</v>
      </c>
      <c r="AB16" s="35">
        <v>46251</v>
      </c>
      <c r="AC16" s="35">
        <v>46262</v>
      </c>
      <c r="AD16" s="36">
        <v>10</v>
      </c>
      <c r="AE16" s="2" t="s">
        <v>141</v>
      </c>
      <c r="AF16" s="35">
        <f t="shared" si="0"/>
        <v>46276</v>
      </c>
      <c r="AH16" s="35">
        <v>46266</v>
      </c>
      <c r="AI16" s="37" t="str">
        <f t="shared" si="2"/>
        <v/>
      </c>
    </row>
    <row r="17" spans="1:36" ht="30" customHeight="1">
      <c r="A17" s="40">
        <v>15</v>
      </c>
      <c r="B17" s="33">
        <v>46210</v>
      </c>
      <c r="C17" s="2" t="s">
        <v>127</v>
      </c>
      <c r="D17" s="25" t="s">
        <v>152</v>
      </c>
      <c r="E17" s="2" t="s">
        <v>129</v>
      </c>
      <c r="F17" s="68" t="s">
        <v>37</v>
      </c>
      <c r="G17" s="68" t="s">
        <v>43</v>
      </c>
      <c r="H17" s="25">
        <v>0</v>
      </c>
      <c r="I17" s="2"/>
      <c r="J17" s="2">
        <v>1</v>
      </c>
      <c r="K17" s="33">
        <v>46211</v>
      </c>
      <c r="L17" s="33">
        <v>46211</v>
      </c>
      <c r="M17" s="46">
        <v>0.8</v>
      </c>
      <c r="N17" s="2" t="s">
        <v>131</v>
      </c>
      <c r="O17" s="2">
        <f t="shared" si="3"/>
        <v>0</v>
      </c>
      <c r="P17" s="33">
        <v>46233</v>
      </c>
      <c r="Q17" s="33">
        <v>46218</v>
      </c>
      <c r="R17" s="34">
        <f t="shared" si="1"/>
        <v>-11</v>
      </c>
      <c r="S17" s="2" t="str">
        <f t="shared" si="4"/>
        <v>No</v>
      </c>
      <c r="T17" s="33">
        <v>46234</v>
      </c>
      <c r="U17" s="33">
        <v>46280</v>
      </c>
      <c r="V17" s="59" t="s">
        <v>153</v>
      </c>
      <c r="W17" s="35">
        <v>46237</v>
      </c>
      <c r="X17" s="35">
        <v>46244</v>
      </c>
      <c r="Z17" s="35">
        <v>46238</v>
      </c>
      <c r="AD17" s="36">
        <v>10</v>
      </c>
      <c r="AE17" s="2" t="s">
        <v>154</v>
      </c>
      <c r="AF17" s="35">
        <f t="shared" si="0"/>
        <v>46318</v>
      </c>
      <c r="AI17" s="37" t="str">
        <f t="shared" si="2"/>
        <v/>
      </c>
    </row>
    <row r="18" spans="1:36" ht="30" customHeight="1">
      <c r="A18" s="40">
        <v>16</v>
      </c>
      <c r="B18" s="33">
        <v>46210</v>
      </c>
      <c r="C18" s="2" t="s">
        <v>127</v>
      </c>
      <c r="D18" s="25" t="s">
        <v>155</v>
      </c>
      <c r="E18" s="2" t="s">
        <v>129</v>
      </c>
      <c r="F18" s="68" t="s">
        <v>38</v>
      </c>
      <c r="G18" s="68" t="s">
        <v>130</v>
      </c>
      <c r="H18" s="25">
        <v>0</v>
      </c>
      <c r="I18" s="2"/>
      <c r="J18" s="2">
        <v>1</v>
      </c>
      <c r="K18" s="33">
        <v>46211</v>
      </c>
      <c r="L18" s="33">
        <v>46211</v>
      </c>
      <c r="M18" s="46">
        <v>0.9</v>
      </c>
      <c r="N18" s="2" t="s">
        <v>131</v>
      </c>
      <c r="O18" s="2">
        <f t="shared" si="3"/>
        <v>0</v>
      </c>
      <c r="P18" s="33">
        <v>46233</v>
      </c>
      <c r="Q18" s="33">
        <v>46218</v>
      </c>
      <c r="R18" s="34">
        <f t="shared" si="1"/>
        <v>-11</v>
      </c>
      <c r="S18" s="2" t="str">
        <f t="shared" si="4"/>
        <v>Yes</v>
      </c>
      <c r="T18" s="33">
        <v>46234</v>
      </c>
      <c r="U18" s="33">
        <v>46280</v>
      </c>
      <c r="V18" s="58"/>
      <c r="W18" s="35">
        <v>46237</v>
      </c>
      <c r="Z18" s="35">
        <v>46238</v>
      </c>
      <c r="AA18" s="35">
        <v>46241</v>
      </c>
      <c r="AB18" s="35">
        <v>46241</v>
      </c>
      <c r="AC18" s="35">
        <v>46262</v>
      </c>
      <c r="AD18" s="36">
        <v>10</v>
      </c>
      <c r="AE18" s="2" t="s">
        <v>141</v>
      </c>
      <c r="AF18" s="35">
        <f t="shared" si="0"/>
        <v>46276</v>
      </c>
      <c r="AH18" s="35">
        <v>46266</v>
      </c>
      <c r="AI18" s="37" t="str">
        <f t="shared" si="2"/>
        <v/>
      </c>
    </row>
    <row r="19" spans="1:36" ht="30" customHeight="1">
      <c r="A19" s="40">
        <v>17</v>
      </c>
      <c r="B19" s="33">
        <v>46210</v>
      </c>
      <c r="C19" s="2" t="s">
        <v>127</v>
      </c>
      <c r="D19" s="25" t="s">
        <v>156</v>
      </c>
      <c r="E19" s="2" t="s">
        <v>129</v>
      </c>
      <c r="F19" s="68" t="s">
        <v>37</v>
      </c>
      <c r="G19" s="68" t="s">
        <v>130</v>
      </c>
      <c r="H19" s="25">
        <v>0</v>
      </c>
      <c r="I19" s="2" t="s">
        <v>157</v>
      </c>
      <c r="J19" s="2">
        <v>1</v>
      </c>
      <c r="K19" s="33">
        <v>46211</v>
      </c>
      <c r="L19" s="33">
        <v>46233</v>
      </c>
      <c r="M19" s="46">
        <v>0.9</v>
      </c>
      <c r="N19" s="2" t="s">
        <v>131</v>
      </c>
      <c r="O19" s="2">
        <f t="shared" si="3"/>
        <v>16</v>
      </c>
      <c r="P19" s="33">
        <v>46233</v>
      </c>
      <c r="Q19" s="33">
        <v>46233</v>
      </c>
      <c r="R19" s="34">
        <f t="shared" si="1"/>
        <v>0</v>
      </c>
      <c r="S19" s="2" t="str">
        <f t="shared" si="4"/>
        <v>Yes</v>
      </c>
      <c r="T19" s="33">
        <v>46234</v>
      </c>
      <c r="U19" s="33">
        <v>46280</v>
      </c>
      <c r="V19" s="59" t="s">
        <v>158</v>
      </c>
      <c r="W19" s="35">
        <v>46237</v>
      </c>
      <c r="Z19" s="35">
        <v>46238</v>
      </c>
      <c r="AA19" s="35">
        <v>46252</v>
      </c>
      <c r="AC19" s="38"/>
      <c r="AD19" s="36">
        <v>10</v>
      </c>
      <c r="AE19" s="2" t="s">
        <v>154</v>
      </c>
      <c r="AF19" s="35">
        <f t="shared" si="0"/>
        <v>46318</v>
      </c>
      <c r="AI19" s="37" t="str">
        <f t="shared" si="2"/>
        <v/>
      </c>
    </row>
    <row r="20" spans="1:36" ht="30" customHeight="1">
      <c r="A20" s="40">
        <v>18</v>
      </c>
      <c r="B20" s="33">
        <v>46210</v>
      </c>
      <c r="C20" s="2" t="s">
        <v>127</v>
      </c>
      <c r="D20" s="25" t="s">
        <v>159</v>
      </c>
      <c r="E20" s="2" t="s">
        <v>129</v>
      </c>
      <c r="F20" s="68" t="s">
        <v>37</v>
      </c>
      <c r="G20" s="68" t="s">
        <v>43</v>
      </c>
      <c r="H20" s="25">
        <v>0</v>
      </c>
      <c r="I20" s="2" t="s">
        <v>136</v>
      </c>
      <c r="J20" s="2">
        <v>1</v>
      </c>
      <c r="K20" s="33">
        <v>46211</v>
      </c>
      <c r="L20" s="33">
        <v>46239</v>
      </c>
      <c r="M20" s="46">
        <v>0.9</v>
      </c>
      <c r="N20" s="2" t="s">
        <v>131</v>
      </c>
      <c r="O20" s="2">
        <f t="shared" si="3"/>
        <v>20</v>
      </c>
      <c r="P20" s="33">
        <v>46233</v>
      </c>
      <c r="Q20" s="33">
        <v>46240</v>
      </c>
      <c r="R20" s="34">
        <f t="shared" si="1"/>
        <v>5</v>
      </c>
      <c r="S20" s="2" t="str">
        <f t="shared" si="4"/>
        <v>Yes</v>
      </c>
      <c r="T20" s="33">
        <v>46234</v>
      </c>
      <c r="U20" s="33">
        <v>46280</v>
      </c>
      <c r="V20" s="59" t="s">
        <v>160</v>
      </c>
      <c r="W20" s="35">
        <v>46237</v>
      </c>
      <c r="X20" s="35">
        <v>46244</v>
      </c>
      <c r="Z20" s="35">
        <v>46247</v>
      </c>
      <c r="AD20" s="36">
        <v>10</v>
      </c>
      <c r="AE20" s="2" t="s">
        <v>154</v>
      </c>
      <c r="AF20" s="35">
        <f t="shared" si="0"/>
        <v>46318</v>
      </c>
      <c r="AI20" s="37" t="str">
        <f t="shared" si="2"/>
        <v/>
      </c>
      <c r="AJ20" s="69" t="s">
        <v>161</v>
      </c>
    </row>
    <row r="21" spans="1:36" ht="30" customHeight="1">
      <c r="A21" s="40">
        <v>19</v>
      </c>
      <c r="B21" s="33">
        <v>46210</v>
      </c>
      <c r="C21" s="2" t="s">
        <v>127</v>
      </c>
      <c r="D21" s="25" t="s">
        <v>162</v>
      </c>
      <c r="E21" s="2" t="s">
        <v>129</v>
      </c>
      <c r="F21" s="68" t="s">
        <v>38</v>
      </c>
      <c r="G21" s="68" t="s">
        <v>130</v>
      </c>
      <c r="H21" s="25">
        <v>0</v>
      </c>
      <c r="I21" s="2"/>
      <c r="J21" s="2">
        <v>1</v>
      </c>
      <c r="K21" s="33">
        <v>46211</v>
      </c>
      <c r="L21" s="33">
        <v>46211</v>
      </c>
      <c r="M21" s="46">
        <v>0.9</v>
      </c>
      <c r="N21" s="2" t="s">
        <v>131</v>
      </c>
      <c r="O21" s="2">
        <f t="shared" si="3"/>
        <v>0</v>
      </c>
      <c r="P21" s="33">
        <v>46233</v>
      </c>
      <c r="Q21" s="33">
        <v>46218</v>
      </c>
      <c r="R21" s="34">
        <f t="shared" si="1"/>
        <v>-11</v>
      </c>
      <c r="S21" s="2" t="str">
        <f t="shared" si="4"/>
        <v>Yes</v>
      </c>
      <c r="T21" s="33">
        <v>46234</v>
      </c>
      <c r="U21" s="33">
        <v>46280</v>
      </c>
      <c r="V21" s="58"/>
      <c r="W21" s="35">
        <v>46237</v>
      </c>
      <c r="X21" s="35">
        <v>46244</v>
      </c>
      <c r="Z21" s="35">
        <v>46238</v>
      </c>
      <c r="AA21" s="35">
        <v>46241</v>
      </c>
      <c r="AB21" s="35">
        <v>46241</v>
      </c>
      <c r="AC21" s="35">
        <v>46262</v>
      </c>
      <c r="AD21" s="36">
        <v>10</v>
      </c>
      <c r="AE21" s="2" t="s">
        <v>141</v>
      </c>
      <c r="AF21" s="35">
        <f t="shared" si="0"/>
        <v>46276</v>
      </c>
      <c r="AH21" s="35">
        <v>46266</v>
      </c>
      <c r="AI21" s="37" t="str">
        <f t="shared" si="2"/>
        <v/>
      </c>
    </row>
    <row r="22" spans="1:36" ht="30" customHeight="1">
      <c r="V22" s="59"/>
    </row>
    <row r="23" spans="1:36" ht="30" customHeight="1"/>
    <row r="24" spans="1:36" ht="30" customHeight="1"/>
    <row r="25" spans="1:36" ht="30" customHeight="1"/>
    <row r="26" spans="1:36" ht="30" customHeight="1"/>
    <row r="27" spans="1:36" ht="30" customHeight="1"/>
    <row r="28" spans="1:36" ht="30" customHeight="1"/>
    <row r="29" spans="1:36" ht="30" customHeight="1"/>
    <row r="30" spans="1:36" ht="14.45" hidden="1">
      <c r="D30" s="2" t="s">
        <v>163</v>
      </c>
    </row>
    <row r="31" spans="1:36" ht="0" hidden="1" customHeight="1">
      <c r="D31" s="2" t="s">
        <v>164</v>
      </c>
    </row>
    <row r="32" spans="1:36" ht="0" hidden="1" customHeight="1">
      <c r="D32" s="2" t="s">
        <v>165</v>
      </c>
    </row>
    <row r="33" spans="4:4" ht="0" hidden="1" customHeight="1">
      <c r="D33" s="2" t="s">
        <v>166</v>
      </c>
    </row>
  </sheetData>
  <sheetProtection sheet="1" objects="1" scenarios="1"/>
  <protectedRanges>
    <protectedRange sqref="A22:BB299 A3:E21 H3:BB21" name="Range1"/>
  </protectedRanges>
  <autoFilter ref="A2:BC21" xr:uid="{00000000-0001-0000-0000-000000000000}"/>
  <mergeCells count="6">
    <mergeCell ref="AU1:BB1"/>
    <mergeCell ref="A1:O1"/>
    <mergeCell ref="P1:V1"/>
    <mergeCell ref="W1:AJ1"/>
    <mergeCell ref="AK1:AO1"/>
    <mergeCell ref="AP1:AT1"/>
  </mergeCells>
  <conditionalFormatting sqref="F1:F1048576">
    <cfRule type="containsText" dxfId="20" priority="1" operator="containsText" text="Critical">
      <formula>NOT(ISERROR(SEARCH("Critical",F1)))</formula>
    </cfRule>
  </conditionalFormatting>
  <conditionalFormatting sqref="G1:G1048576">
    <cfRule type="containsText" dxfId="19" priority="2" operator="containsText" text="HW">
      <formula>NOT(ISERROR(SEARCH("HW",G1)))</formula>
    </cfRule>
    <cfRule type="containsText" dxfId="18" priority="3" operator="containsText" text="Mech">
      <formula>NOT(ISERROR(SEARCH("Mech",G1)))</formula>
    </cfRule>
  </conditionalFormatting>
  <conditionalFormatting sqref="O1 O3:O1048576 R3:R1048576 AI3:AI1048576">
    <cfRule type="cellIs" dxfId="17" priority="7" operator="greaterThan">
      <formula>0</formula>
    </cfRule>
    <cfRule type="cellIs" dxfId="16" priority="8" operator="lessThan">
      <formula>0</formula>
    </cfRule>
  </conditionalFormatting>
  <conditionalFormatting sqref="P1 U2:U18 S2:T21 U20:U21 S22:U1048576">
    <cfRule type="containsText" dxfId="15" priority="9" operator="containsText" text="No">
      <formula>NOT(ISERROR(SEARCH("No",P1)))</formula>
    </cfRule>
  </conditionalFormatting>
  <conditionalFormatting sqref="AE2:AE1048576">
    <cfRule type="containsText" dxfId="14" priority="4" operator="containsText" text="Low">
      <formula>NOT(ISERROR(SEARCH("Low",AE2)))</formula>
    </cfRule>
    <cfRule type="containsText" dxfId="13" priority="5" operator="containsText" text="Medium">
      <formula>NOT(ISERROR(SEARCH("Medium",AE2)))</formula>
    </cfRule>
    <cfRule type="containsText" dxfId="12" priority="6" operator="containsText" text="High">
      <formula>NOT(ISERROR(SEARCH("High",AE2)))</formula>
    </cfRule>
  </conditionalFormatting>
  <dataValidations count="4">
    <dataValidation type="list" allowBlank="1" showInputMessage="1" showErrorMessage="1" sqref="G3:G21" xr:uid="{74015EEB-6D14-483E-9C17-2F5F0FFFE095}">
      <formula1>"Mech, HW"</formula1>
    </dataValidation>
    <dataValidation type="list" allowBlank="1" showInputMessage="1" showErrorMessage="1" sqref="F3:F21" xr:uid="{EF72548C-5DB8-43B6-85AF-70EF93373CCA}">
      <formula1>"New - Critical, Carryover - Critical, New - Regular, Carryover - Regular"</formula1>
    </dataValidation>
    <dataValidation type="list" allowBlank="1" showInputMessage="1" showErrorMessage="1" sqref="E3:E21" xr:uid="{47C6D69B-155F-4952-B486-9C8E1442E631}">
      <formula1>"New, Carryover"</formula1>
    </dataValidation>
    <dataValidation type="list" allowBlank="1" showInputMessage="1" showErrorMessage="1" sqref="AE3:AE19" xr:uid="{57FFC3BA-B147-4315-A9D8-5E66E425CD3D}">
      <formula1>"Low,Medium,High"</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D179"/>
  <sheetViews>
    <sheetView tabSelected="1" zoomScale="85" zoomScaleNormal="85" workbookViewId="0">
      <pane xSplit="11" ySplit="2" topLeftCell="L3" activePane="bottomRight" state="frozen"/>
      <selection pane="bottomRight" activeCell="D9" sqref="D9"/>
      <selection pane="bottomLeft"/>
      <selection pane="topRight"/>
    </sheetView>
  </sheetViews>
  <sheetFormatPr defaultColWidth="0" defaultRowHeight="0" customHeight="1" zeroHeight="1" outlineLevelCol="3"/>
  <cols>
    <col min="1" max="1" width="5.7109375" style="42" customWidth="1"/>
    <col min="2" max="2" width="8" style="57" bestFit="1" customWidth="1"/>
    <col min="3" max="3" width="12.28515625" style="36" bestFit="1" customWidth="1"/>
    <col min="4" max="4" width="33.85546875" style="2" customWidth="1"/>
    <col min="5" max="5" width="9.140625" style="36" customWidth="1"/>
    <col min="6" max="6" width="8.42578125" style="36" customWidth="1"/>
    <col min="7" max="7" width="17" style="36" customWidth="1"/>
    <col min="8" max="8" width="8.28515625" style="36" customWidth="1"/>
    <col min="9" max="9" width="7.28515625" style="36" customWidth="1"/>
    <col min="10" max="10" width="4.28515625" style="36" customWidth="1"/>
    <col min="11" max="11" width="4.140625" style="36" customWidth="1"/>
    <col min="12" max="12" width="9.42578125" style="35" customWidth="1"/>
    <col min="13" max="13" width="9.7109375" style="35" customWidth="1"/>
    <col min="14" max="14" width="9.140625" style="47" customWidth="1"/>
    <col min="15" max="15" width="5.7109375" style="36" customWidth="1"/>
    <col min="16" max="16" width="8.5703125" style="36" customWidth="1"/>
    <col min="17" max="18" width="10.5703125" style="35" customWidth="1" outlineLevel="3"/>
    <col min="19" max="19" width="7.28515625" style="37" customWidth="1" outlineLevel="3"/>
    <col min="20" max="20" width="6.28515625" style="36" customWidth="1" outlineLevel="3"/>
    <col min="21" max="21" width="9.28515625" style="35" customWidth="1" outlineLevel="3"/>
    <col min="22" max="22" width="9.85546875" style="35" customWidth="1" outlineLevel="3"/>
    <col min="23" max="23" width="17.28515625" style="60" customWidth="1" outlineLevel="3"/>
    <col min="24" max="24" width="9.28515625" style="35" customWidth="1" outlineLevel="2"/>
    <col min="25" max="25" width="10.140625" style="35" customWidth="1" outlineLevel="2"/>
    <col min="26" max="26" width="12.28515625" style="35" customWidth="1" outlineLevel="2"/>
    <col min="27" max="27" width="10.140625" style="35" customWidth="1" outlineLevel="2"/>
    <col min="28" max="28" width="12.28515625" style="35" customWidth="1" outlineLevel="2"/>
    <col min="29" max="29" width="11.140625" style="35" customWidth="1" outlineLevel="2"/>
    <col min="30" max="30" width="10.5703125" style="35" customWidth="1" outlineLevel="2"/>
    <col min="31" max="31" width="33.7109375" style="35" customWidth="1" outlineLevel="2"/>
    <col min="32" max="32" width="7.140625" style="36" customWidth="1" outlineLevel="2"/>
    <col min="33" max="33" width="9.42578125" style="35" customWidth="1" outlineLevel="2"/>
    <col min="34" max="34" width="9.5703125" style="36" customWidth="1" outlineLevel="2"/>
    <col min="35" max="36" width="12.42578125" style="35" customWidth="1" outlineLevel="2"/>
    <col min="37" max="37" width="8" style="37" customWidth="1" outlineLevel="2"/>
    <col min="38" max="38" width="33.7109375" style="69" customWidth="1" outlineLevel="2"/>
    <col min="39" max="39" width="11" style="35" bestFit="1" customWidth="1"/>
    <col min="40" max="40" width="10.7109375" style="35" bestFit="1" customWidth="1"/>
    <col min="41" max="41" width="8.28515625" style="35" bestFit="1" customWidth="1"/>
    <col min="42" max="42" width="12.28515625" style="35" bestFit="1" customWidth="1"/>
    <col min="43" max="43" width="15.28515625" style="2" customWidth="1"/>
    <col min="44" max="44" width="8" style="35" bestFit="1" customWidth="1"/>
    <col min="45" max="45" width="7.140625" style="35" bestFit="1" customWidth="1"/>
    <col min="46" max="46" width="5.140625" style="35" bestFit="1" customWidth="1"/>
    <col min="47" max="47" width="9.42578125" style="35" bestFit="1" customWidth="1"/>
    <col min="48" max="48" width="10.140625" style="36" bestFit="1" customWidth="1"/>
    <col min="49" max="49" width="11" style="36" bestFit="1" customWidth="1"/>
    <col min="50" max="50" width="7" style="36" bestFit="1" customWidth="1"/>
    <col min="51" max="51" width="6" style="36" bestFit="1" customWidth="1"/>
    <col min="52" max="52" width="8" style="36" bestFit="1" customWidth="1"/>
    <col min="53" max="53" width="7.7109375" style="36" bestFit="1" customWidth="1"/>
    <col min="54" max="54" width="11.7109375" style="36" bestFit="1" customWidth="1"/>
    <col min="55" max="55" width="8.42578125" style="36" bestFit="1" customWidth="1"/>
    <col min="56" max="56" width="10.140625" style="41" bestFit="1" customWidth="1"/>
    <col min="57" max="57" width="63" style="13" customWidth="1"/>
    <col min="58" max="16384" width="0" style="13" hidden="1"/>
  </cols>
  <sheetData>
    <row r="1" spans="1:56" s="30" customFormat="1" ht="30" customHeight="1">
      <c r="A1" s="99" t="s">
        <v>27</v>
      </c>
      <c r="B1" s="100"/>
      <c r="C1" s="100"/>
      <c r="D1" s="100"/>
      <c r="E1" s="100"/>
      <c r="F1" s="100"/>
      <c r="G1" s="100"/>
      <c r="H1" s="100"/>
      <c r="I1" s="100"/>
      <c r="J1" s="100"/>
      <c r="K1" s="100"/>
      <c r="L1" s="100"/>
      <c r="M1" s="100"/>
      <c r="N1" s="100"/>
      <c r="O1" s="100"/>
      <c r="P1" s="101"/>
      <c r="Q1" s="114" t="s">
        <v>75</v>
      </c>
      <c r="R1" s="115"/>
      <c r="S1" s="115"/>
      <c r="T1" s="115"/>
      <c r="U1" s="115"/>
      <c r="V1" s="115"/>
      <c r="W1" s="116"/>
      <c r="X1" s="102" t="s">
        <v>29</v>
      </c>
      <c r="Y1" s="103"/>
      <c r="Z1" s="103"/>
      <c r="AA1" s="103"/>
      <c r="AB1" s="103"/>
      <c r="AC1" s="103"/>
      <c r="AD1" s="103"/>
      <c r="AE1" s="103"/>
      <c r="AF1" s="103"/>
      <c r="AG1" s="103"/>
      <c r="AH1" s="103"/>
      <c r="AI1" s="103"/>
      <c r="AJ1" s="103"/>
      <c r="AK1" s="103"/>
      <c r="AL1" s="104"/>
      <c r="AM1" s="108" t="s">
        <v>30</v>
      </c>
      <c r="AN1" s="109"/>
      <c r="AO1" s="109"/>
      <c r="AP1" s="109"/>
      <c r="AQ1" s="110"/>
      <c r="AR1" s="111" t="s">
        <v>76</v>
      </c>
      <c r="AS1" s="112"/>
      <c r="AT1" s="112"/>
      <c r="AU1" s="112"/>
      <c r="AV1" s="113"/>
      <c r="AW1" s="105" t="s">
        <v>77</v>
      </c>
      <c r="AX1" s="106"/>
      <c r="AY1" s="106"/>
      <c r="AZ1" s="106"/>
      <c r="BA1" s="106"/>
      <c r="BB1" s="106"/>
      <c r="BC1" s="106"/>
      <c r="BD1" s="107"/>
    </row>
    <row r="2" spans="1:56" s="1" customFormat="1" ht="50.25" customHeight="1">
      <c r="A2" s="52" t="s">
        <v>78</v>
      </c>
      <c r="B2" s="56" t="s">
        <v>79</v>
      </c>
      <c r="C2" s="51" t="s">
        <v>80</v>
      </c>
      <c r="D2" s="51" t="s">
        <v>81</v>
      </c>
      <c r="E2" s="54" t="s">
        <v>82</v>
      </c>
      <c r="F2" s="56" t="s">
        <v>167</v>
      </c>
      <c r="G2" s="56" t="s">
        <v>83</v>
      </c>
      <c r="H2" s="56" t="s">
        <v>84</v>
      </c>
      <c r="I2" s="51" t="s">
        <v>85</v>
      </c>
      <c r="J2" s="51" t="s">
        <v>86</v>
      </c>
      <c r="K2" s="53" t="s">
        <v>87</v>
      </c>
      <c r="L2" s="50" t="s">
        <v>88</v>
      </c>
      <c r="M2" s="50" t="s">
        <v>89</v>
      </c>
      <c r="N2" s="49" t="s">
        <v>90</v>
      </c>
      <c r="O2" s="48" t="s">
        <v>91</v>
      </c>
      <c r="P2" s="48" t="s">
        <v>92</v>
      </c>
      <c r="Q2" s="55" t="s">
        <v>93</v>
      </c>
      <c r="R2" s="55" t="s">
        <v>94</v>
      </c>
      <c r="S2" s="55" t="s">
        <v>92</v>
      </c>
      <c r="T2" s="45" t="s">
        <v>95</v>
      </c>
      <c r="U2" s="55" t="s">
        <v>96</v>
      </c>
      <c r="V2" s="32" t="s">
        <v>97</v>
      </c>
      <c r="W2" s="31" t="s">
        <v>98</v>
      </c>
      <c r="X2" s="32" t="s">
        <v>99</v>
      </c>
      <c r="Y2" s="32" t="s">
        <v>102</v>
      </c>
      <c r="Z2" s="32" t="s">
        <v>100</v>
      </c>
      <c r="AA2" s="32" t="s">
        <v>103</v>
      </c>
      <c r="AB2" s="32" t="s">
        <v>101</v>
      </c>
      <c r="AC2" s="32" t="s">
        <v>104</v>
      </c>
      <c r="AD2" s="32" t="s">
        <v>105</v>
      </c>
      <c r="AE2" s="32" t="s">
        <v>168</v>
      </c>
      <c r="AF2" s="31" t="s">
        <v>106</v>
      </c>
      <c r="AG2" s="32" t="s">
        <v>110</v>
      </c>
      <c r="AH2" s="31" t="s">
        <v>107</v>
      </c>
      <c r="AI2" s="32" t="s">
        <v>108</v>
      </c>
      <c r="AJ2" s="32" t="s">
        <v>109</v>
      </c>
      <c r="AK2" s="32" t="s">
        <v>92</v>
      </c>
      <c r="AL2" s="31" t="s">
        <v>111</v>
      </c>
      <c r="AM2" s="32" t="s">
        <v>112</v>
      </c>
      <c r="AN2" s="32" t="s">
        <v>113</v>
      </c>
      <c r="AO2" s="32" t="s">
        <v>114</v>
      </c>
      <c r="AP2" s="32" t="s">
        <v>115</v>
      </c>
      <c r="AQ2" s="31" t="s">
        <v>111</v>
      </c>
      <c r="AR2" s="32" t="s">
        <v>116</v>
      </c>
      <c r="AS2" s="32" t="s">
        <v>117</v>
      </c>
      <c r="AT2" s="32" t="s">
        <v>118</v>
      </c>
      <c r="AU2" s="32" t="s">
        <v>119</v>
      </c>
      <c r="AV2" s="31" t="s">
        <v>111</v>
      </c>
      <c r="AW2" s="31" t="s">
        <v>120</v>
      </c>
      <c r="AX2" s="31" t="s">
        <v>121</v>
      </c>
      <c r="AY2" s="31" t="s">
        <v>122</v>
      </c>
      <c r="AZ2" s="31" t="s">
        <v>123</v>
      </c>
      <c r="BA2" s="31" t="s">
        <v>124</v>
      </c>
      <c r="BB2" s="31" t="s">
        <v>125</v>
      </c>
      <c r="BC2" s="31" t="s">
        <v>126</v>
      </c>
      <c r="BD2" s="39" t="s">
        <v>111</v>
      </c>
    </row>
    <row r="3" spans="1:56" ht="30" customHeight="1">
      <c r="A3" s="40">
        <v>1</v>
      </c>
      <c r="B3" s="33">
        <v>46210</v>
      </c>
      <c r="C3" s="25" t="s">
        <v>127</v>
      </c>
      <c r="D3" s="25" t="s">
        <v>169</v>
      </c>
      <c r="E3" s="2" t="s">
        <v>129</v>
      </c>
      <c r="F3" s="2" t="s">
        <v>170</v>
      </c>
      <c r="G3" s="68" t="s">
        <v>37</v>
      </c>
      <c r="H3" s="68" t="s">
        <v>130</v>
      </c>
      <c r="I3" s="25" t="s">
        <v>171</v>
      </c>
      <c r="J3" s="2"/>
      <c r="K3" s="2">
        <v>1</v>
      </c>
      <c r="L3" s="33">
        <v>46211</v>
      </c>
      <c r="M3" s="33"/>
      <c r="N3" s="46">
        <v>0.95</v>
      </c>
      <c r="O3" s="2"/>
      <c r="P3" s="2" t="str">
        <f t="shared" ref="P3:P66" si="0">IF(OR(L3="",M3=""),"",SIGN(M3-L3)*(NETWORKDAYS(MIN(L3,M3),MAX(L3,M3))-1))</f>
        <v/>
      </c>
      <c r="Q3" s="33"/>
      <c r="R3" s="33"/>
      <c r="S3" s="34" t="str">
        <f t="shared" ref="S3:S66" si="1">IF(OR(Q3="",R3=""),"",SIGN(R3-Q3)*(NETWORKDAYS(MIN(Q3,R3),MAX(Q3,R3))-1))</f>
        <v/>
      </c>
      <c r="T3" s="2" t="str">
        <f t="shared" ref="T3:T66" si="2">IF(AND(N3&gt;=90%,N3&lt;=100%),"Yes","No")</f>
        <v>Yes</v>
      </c>
      <c r="U3" s="33"/>
      <c r="V3" s="33"/>
      <c r="W3" s="58"/>
      <c r="AF3" s="36">
        <v>10</v>
      </c>
      <c r="AH3" s="2"/>
      <c r="AK3" s="37" t="str">
        <f t="shared" ref="AK3:AK67" si="3">IF(OR(AI3="",AJ3=""),"",SIGN(AJ3-AI3)*(NETWORKDAYS(MIN(AI3,AJ3),MAX(AI3,AJ3))-1))</f>
        <v/>
      </c>
      <c r="AL3" s="58"/>
    </row>
    <row r="4" spans="1:56" ht="30" customHeight="1">
      <c r="A4" s="40">
        <v>2</v>
      </c>
      <c r="B4" s="33">
        <v>46210</v>
      </c>
      <c r="C4" s="25" t="s">
        <v>172</v>
      </c>
      <c r="D4" s="25" t="s">
        <v>173</v>
      </c>
      <c r="E4" s="2" t="s">
        <v>174</v>
      </c>
      <c r="F4" s="2" t="s">
        <v>170</v>
      </c>
      <c r="G4" s="68" t="s">
        <v>39</v>
      </c>
      <c r="H4" s="68" t="s">
        <v>130</v>
      </c>
      <c r="I4" s="25" t="s">
        <v>171</v>
      </c>
      <c r="J4" s="2"/>
      <c r="K4" s="2">
        <v>1</v>
      </c>
      <c r="L4" s="33">
        <v>46211</v>
      </c>
      <c r="M4" s="33">
        <v>46211</v>
      </c>
      <c r="N4" s="46">
        <v>1</v>
      </c>
      <c r="O4" s="2"/>
      <c r="P4" s="2">
        <f t="shared" si="0"/>
        <v>0</v>
      </c>
      <c r="Q4" s="33"/>
      <c r="R4" s="33"/>
      <c r="S4" s="34" t="str">
        <f t="shared" si="1"/>
        <v/>
      </c>
      <c r="T4" s="2" t="str">
        <f t="shared" si="2"/>
        <v>Yes</v>
      </c>
      <c r="U4" s="33"/>
      <c r="V4" s="33"/>
      <c r="W4" s="58"/>
      <c r="AF4" s="36">
        <v>10</v>
      </c>
      <c r="AH4" s="2"/>
      <c r="AK4" s="37" t="str">
        <f t="shared" si="3"/>
        <v/>
      </c>
      <c r="AL4" s="58"/>
    </row>
    <row r="5" spans="1:56" ht="30" customHeight="1">
      <c r="A5" s="40">
        <v>3</v>
      </c>
      <c r="B5" s="33">
        <v>46210</v>
      </c>
      <c r="C5" s="25" t="s">
        <v>175</v>
      </c>
      <c r="D5" s="25" t="s">
        <v>176</v>
      </c>
      <c r="E5" s="2" t="s">
        <v>174</v>
      </c>
      <c r="F5" s="2" t="s">
        <v>170</v>
      </c>
      <c r="G5" s="68" t="s">
        <v>39</v>
      </c>
      <c r="H5" s="68" t="s">
        <v>130</v>
      </c>
      <c r="I5" s="25" t="s">
        <v>171</v>
      </c>
      <c r="J5" s="2"/>
      <c r="K5" s="2">
        <v>1</v>
      </c>
      <c r="L5" s="33">
        <v>46211</v>
      </c>
      <c r="M5" s="33">
        <v>46211</v>
      </c>
      <c r="N5" s="46">
        <v>1</v>
      </c>
      <c r="O5" s="2"/>
      <c r="P5" s="2">
        <f t="shared" si="0"/>
        <v>0</v>
      </c>
      <c r="Q5" s="33"/>
      <c r="R5" s="33"/>
      <c r="S5" s="34" t="str">
        <f t="shared" si="1"/>
        <v/>
      </c>
      <c r="T5" s="2" t="str">
        <f t="shared" si="2"/>
        <v>Yes</v>
      </c>
      <c r="U5" s="33"/>
      <c r="V5" s="33"/>
      <c r="W5" s="58"/>
      <c r="AF5" s="36">
        <v>10</v>
      </c>
      <c r="AH5" s="2"/>
      <c r="AK5" s="37" t="str">
        <f t="shared" si="3"/>
        <v/>
      </c>
      <c r="AL5" s="58"/>
    </row>
    <row r="6" spans="1:56" ht="30" customHeight="1">
      <c r="A6" s="40">
        <v>4</v>
      </c>
      <c r="B6" s="33">
        <v>46210</v>
      </c>
      <c r="C6" s="25" t="s">
        <v>177</v>
      </c>
      <c r="D6" s="25" t="s">
        <v>178</v>
      </c>
      <c r="E6" s="2" t="s">
        <v>174</v>
      </c>
      <c r="F6" s="2" t="s">
        <v>170</v>
      </c>
      <c r="G6" s="68" t="s">
        <v>39</v>
      </c>
      <c r="H6" s="68" t="s">
        <v>130</v>
      </c>
      <c r="I6" s="25" t="s">
        <v>171</v>
      </c>
      <c r="J6" s="2"/>
      <c r="K6" s="2">
        <v>4</v>
      </c>
      <c r="L6" s="33">
        <v>46211</v>
      </c>
      <c r="M6" s="33">
        <v>46211</v>
      </c>
      <c r="N6" s="46">
        <v>1</v>
      </c>
      <c r="O6" s="2"/>
      <c r="P6" s="2">
        <f t="shared" si="0"/>
        <v>0</v>
      </c>
      <c r="Q6" s="33"/>
      <c r="R6" s="33"/>
      <c r="S6" s="34" t="str">
        <f t="shared" si="1"/>
        <v/>
      </c>
      <c r="T6" s="2" t="str">
        <f t="shared" si="2"/>
        <v>Yes</v>
      </c>
      <c r="U6" s="33"/>
      <c r="V6" s="33"/>
      <c r="W6" s="58"/>
      <c r="AF6" s="36">
        <v>10</v>
      </c>
      <c r="AH6" s="2"/>
      <c r="AK6" s="37" t="str">
        <f t="shared" si="3"/>
        <v/>
      </c>
      <c r="AL6" s="58"/>
    </row>
    <row r="7" spans="1:56" ht="30" customHeight="1">
      <c r="A7" s="40">
        <v>5</v>
      </c>
      <c r="B7" s="33">
        <v>46210</v>
      </c>
      <c r="C7" s="25" t="s">
        <v>179</v>
      </c>
      <c r="D7" s="25" t="s">
        <v>180</v>
      </c>
      <c r="E7" s="2" t="s">
        <v>174</v>
      </c>
      <c r="F7" s="2" t="s">
        <v>170</v>
      </c>
      <c r="G7" s="68" t="s">
        <v>39</v>
      </c>
      <c r="H7" s="68" t="s">
        <v>130</v>
      </c>
      <c r="I7" s="25" t="s">
        <v>171</v>
      </c>
      <c r="J7" s="2"/>
      <c r="K7" s="2">
        <v>1</v>
      </c>
      <c r="L7" s="33">
        <v>46211</v>
      </c>
      <c r="M7" s="33">
        <v>46211</v>
      </c>
      <c r="N7" s="46">
        <v>1</v>
      </c>
      <c r="O7" s="2"/>
      <c r="P7" s="2">
        <f t="shared" si="0"/>
        <v>0</v>
      </c>
      <c r="Q7" s="33"/>
      <c r="R7" s="33"/>
      <c r="S7" s="34" t="str">
        <f t="shared" si="1"/>
        <v/>
      </c>
      <c r="T7" s="2" t="str">
        <f t="shared" si="2"/>
        <v>Yes</v>
      </c>
      <c r="U7" s="33"/>
      <c r="V7" s="33"/>
      <c r="W7" s="58"/>
      <c r="AF7" s="36">
        <v>10</v>
      </c>
      <c r="AH7" s="2"/>
      <c r="AK7" s="37" t="str">
        <f t="shared" si="3"/>
        <v/>
      </c>
      <c r="AL7" s="58"/>
    </row>
    <row r="8" spans="1:56" ht="30" customHeight="1">
      <c r="A8" s="40">
        <v>6</v>
      </c>
      <c r="B8" s="33">
        <v>46210</v>
      </c>
      <c r="C8" s="25" t="s">
        <v>181</v>
      </c>
      <c r="D8" s="25" t="s">
        <v>182</v>
      </c>
      <c r="E8" s="2" t="s">
        <v>174</v>
      </c>
      <c r="F8" s="2" t="s">
        <v>170</v>
      </c>
      <c r="G8" s="68" t="s">
        <v>40</v>
      </c>
      <c r="H8" s="68" t="s">
        <v>130</v>
      </c>
      <c r="I8" s="25" t="s">
        <v>171</v>
      </c>
      <c r="J8" s="2"/>
      <c r="K8" s="2">
        <f>16+2+2</f>
        <v>20</v>
      </c>
      <c r="L8" s="33">
        <v>46211</v>
      </c>
      <c r="M8" s="33">
        <v>46211</v>
      </c>
      <c r="N8" s="46">
        <v>1</v>
      </c>
      <c r="O8" s="2"/>
      <c r="P8" s="2">
        <f t="shared" si="0"/>
        <v>0</v>
      </c>
      <c r="Q8" s="33"/>
      <c r="R8" s="33"/>
      <c r="S8" s="34" t="str">
        <f t="shared" si="1"/>
        <v/>
      </c>
      <c r="T8" s="2" t="str">
        <f t="shared" si="2"/>
        <v>Yes</v>
      </c>
      <c r="U8" s="33"/>
      <c r="V8" s="33"/>
      <c r="W8" s="58"/>
      <c r="AF8" s="36">
        <v>10</v>
      </c>
      <c r="AH8" s="2"/>
      <c r="AK8" s="37" t="str">
        <f t="shared" si="3"/>
        <v/>
      </c>
      <c r="AL8" s="58"/>
    </row>
    <row r="9" spans="1:56" ht="30" customHeight="1">
      <c r="A9" s="40">
        <v>7</v>
      </c>
      <c r="B9" s="33">
        <v>46210</v>
      </c>
      <c r="C9" s="25" t="s">
        <v>183</v>
      </c>
      <c r="D9" s="25" t="s">
        <v>184</v>
      </c>
      <c r="E9" s="2" t="s">
        <v>174</v>
      </c>
      <c r="F9" s="2" t="s">
        <v>170</v>
      </c>
      <c r="G9" s="68" t="s">
        <v>40</v>
      </c>
      <c r="H9" s="68" t="s">
        <v>130</v>
      </c>
      <c r="I9" s="25" t="s">
        <v>171</v>
      </c>
      <c r="J9" s="2"/>
      <c r="K9" s="2">
        <f>32+4+8+4+2</f>
        <v>50</v>
      </c>
      <c r="L9" s="33">
        <v>46211</v>
      </c>
      <c r="M9" s="33">
        <v>46211</v>
      </c>
      <c r="N9" s="46">
        <v>1</v>
      </c>
      <c r="O9" s="2"/>
      <c r="P9" s="2">
        <f t="shared" si="0"/>
        <v>0</v>
      </c>
      <c r="Q9" s="33"/>
      <c r="R9" s="33"/>
      <c r="S9" s="34" t="str">
        <f t="shared" si="1"/>
        <v/>
      </c>
      <c r="T9" s="2" t="str">
        <f t="shared" si="2"/>
        <v>Yes</v>
      </c>
      <c r="U9" s="33"/>
      <c r="V9" s="33"/>
      <c r="W9" s="58"/>
      <c r="AF9" s="36">
        <v>10</v>
      </c>
      <c r="AH9" s="2"/>
      <c r="AK9" s="37" t="str">
        <f t="shared" si="3"/>
        <v/>
      </c>
      <c r="AL9" s="58"/>
    </row>
    <row r="10" spans="1:56" ht="30" customHeight="1">
      <c r="A10" s="40">
        <v>8</v>
      </c>
      <c r="B10" s="33">
        <v>46210</v>
      </c>
      <c r="C10" s="25" t="s">
        <v>185</v>
      </c>
      <c r="D10" s="25" t="s">
        <v>186</v>
      </c>
      <c r="E10" s="2" t="s">
        <v>174</v>
      </c>
      <c r="F10" s="2" t="s">
        <v>170</v>
      </c>
      <c r="G10" s="68" t="s">
        <v>40</v>
      </c>
      <c r="H10" s="68" t="s">
        <v>130</v>
      </c>
      <c r="I10" s="25" t="s">
        <v>171</v>
      </c>
      <c r="J10" s="2"/>
      <c r="K10" s="2">
        <f>16+4+4+2+2</f>
        <v>28</v>
      </c>
      <c r="L10" s="33">
        <v>46211</v>
      </c>
      <c r="M10" s="33">
        <v>46211</v>
      </c>
      <c r="N10" s="46">
        <v>1</v>
      </c>
      <c r="O10" s="2"/>
      <c r="P10" s="2">
        <f t="shared" si="0"/>
        <v>0</v>
      </c>
      <c r="Q10" s="33"/>
      <c r="R10" s="33"/>
      <c r="S10" s="34" t="str">
        <f t="shared" si="1"/>
        <v/>
      </c>
      <c r="T10" s="2" t="str">
        <f t="shared" si="2"/>
        <v>Yes</v>
      </c>
      <c r="U10" s="33"/>
      <c r="V10" s="33"/>
      <c r="W10" s="58"/>
      <c r="AF10" s="36">
        <v>10</v>
      </c>
      <c r="AH10" s="2"/>
      <c r="AK10" s="37" t="str">
        <f t="shared" si="3"/>
        <v/>
      </c>
      <c r="AL10" s="58"/>
    </row>
    <row r="11" spans="1:56" ht="30" customHeight="1">
      <c r="A11" s="40">
        <v>9</v>
      </c>
      <c r="B11" s="33">
        <v>46210</v>
      </c>
      <c r="C11" s="25" t="s">
        <v>187</v>
      </c>
      <c r="D11" s="25" t="s">
        <v>188</v>
      </c>
      <c r="E11" s="2" t="s">
        <v>174</v>
      </c>
      <c r="F11" s="2" t="s">
        <v>170</v>
      </c>
      <c r="G11" s="68" t="s">
        <v>40</v>
      </c>
      <c r="H11" s="68" t="s">
        <v>130</v>
      </c>
      <c r="I11" s="25" t="s">
        <v>171</v>
      </c>
      <c r="J11" s="2"/>
      <c r="K11" s="2">
        <f>200+40+100</f>
        <v>340</v>
      </c>
      <c r="L11" s="33">
        <v>46211</v>
      </c>
      <c r="M11" s="33">
        <v>46211</v>
      </c>
      <c r="N11" s="46">
        <v>1</v>
      </c>
      <c r="O11" s="2"/>
      <c r="P11" s="2">
        <f t="shared" si="0"/>
        <v>0</v>
      </c>
      <c r="Q11" s="33"/>
      <c r="R11" s="33"/>
      <c r="S11" s="34" t="str">
        <f t="shared" si="1"/>
        <v/>
      </c>
      <c r="T11" s="2" t="str">
        <f t="shared" si="2"/>
        <v>Yes</v>
      </c>
      <c r="U11" s="33"/>
      <c r="V11" s="33"/>
      <c r="W11" s="58"/>
      <c r="AF11" s="36">
        <v>10</v>
      </c>
      <c r="AH11" s="2"/>
      <c r="AK11" s="37" t="str">
        <f t="shared" si="3"/>
        <v/>
      </c>
      <c r="AL11" s="58"/>
    </row>
    <row r="12" spans="1:56" ht="30" customHeight="1">
      <c r="A12" s="40">
        <v>10</v>
      </c>
      <c r="B12" s="33">
        <v>46210</v>
      </c>
      <c r="C12" s="25" t="s">
        <v>189</v>
      </c>
      <c r="D12" s="25" t="s">
        <v>188</v>
      </c>
      <c r="E12" s="2" t="s">
        <v>174</v>
      </c>
      <c r="F12" s="2" t="s">
        <v>170</v>
      </c>
      <c r="G12" s="68" t="s">
        <v>40</v>
      </c>
      <c r="H12" s="68" t="s">
        <v>130</v>
      </c>
      <c r="I12" s="25" t="s">
        <v>171</v>
      </c>
      <c r="J12" s="2"/>
      <c r="K12" s="2">
        <v>100</v>
      </c>
      <c r="L12" s="33">
        <v>46211</v>
      </c>
      <c r="M12" s="33">
        <v>46211</v>
      </c>
      <c r="N12" s="46">
        <v>1</v>
      </c>
      <c r="O12" s="2"/>
      <c r="P12" s="2">
        <f t="shared" si="0"/>
        <v>0</v>
      </c>
      <c r="Q12" s="33"/>
      <c r="R12" s="33"/>
      <c r="S12" s="34" t="str">
        <f t="shared" si="1"/>
        <v/>
      </c>
      <c r="T12" s="2" t="str">
        <f t="shared" si="2"/>
        <v>Yes</v>
      </c>
      <c r="U12" s="33"/>
      <c r="V12" s="33"/>
      <c r="W12" s="58"/>
      <c r="AF12" s="36">
        <v>10</v>
      </c>
      <c r="AH12" s="2"/>
      <c r="AK12" s="37" t="str">
        <f t="shared" si="3"/>
        <v/>
      </c>
      <c r="AL12" s="58"/>
    </row>
    <row r="13" spans="1:56" ht="30" customHeight="1">
      <c r="A13" s="40">
        <v>11</v>
      </c>
      <c r="B13" s="33">
        <v>46210</v>
      </c>
      <c r="C13" s="25" t="s">
        <v>190</v>
      </c>
      <c r="D13" s="25" t="s">
        <v>191</v>
      </c>
      <c r="E13" s="2" t="s">
        <v>174</v>
      </c>
      <c r="F13" s="2" t="s">
        <v>170</v>
      </c>
      <c r="G13" s="68" t="s">
        <v>40</v>
      </c>
      <c r="H13" s="68" t="s">
        <v>130</v>
      </c>
      <c r="I13" s="25" t="s">
        <v>171</v>
      </c>
      <c r="J13" s="2"/>
      <c r="K13" s="2">
        <v>1</v>
      </c>
      <c r="L13" s="33">
        <v>46211</v>
      </c>
      <c r="M13" s="33">
        <v>46211</v>
      </c>
      <c r="N13" s="46">
        <v>1</v>
      </c>
      <c r="O13" s="2"/>
      <c r="P13" s="2">
        <f t="shared" si="0"/>
        <v>0</v>
      </c>
      <c r="Q13" s="33"/>
      <c r="R13" s="33"/>
      <c r="S13" s="34" t="str">
        <f t="shared" si="1"/>
        <v/>
      </c>
      <c r="T13" s="2" t="str">
        <f t="shared" si="2"/>
        <v>Yes</v>
      </c>
      <c r="U13" s="33"/>
      <c r="V13" s="33"/>
      <c r="W13" s="58"/>
      <c r="AF13" s="36">
        <v>10</v>
      </c>
      <c r="AH13" s="2"/>
      <c r="AK13" s="37" t="str">
        <f t="shared" si="3"/>
        <v/>
      </c>
      <c r="AL13" s="58"/>
    </row>
    <row r="14" spans="1:56" ht="30" customHeight="1">
      <c r="A14" s="40">
        <v>12</v>
      </c>
      <c r="B14" s="33">
        <v>46210</v>
      </c>
      <c r="C14" s="25" t="s">
        <v>192</v>
      </c>
      <c r="D14" s="25" t="s">
        <v>193</v>
      </c>
      <c r="E14" s="2" t="s">
        <v>174</v>
      </c>
      <c r="F14" s="2" t="s">
        <v>170</v>
      </c>
      <c r="G14" s="68" t="s">
        <v>39</v>
      </c>
      <c r="H14" s="68" t="s">
        <v>130</v>
      </c>
      <c r="I14" s="25" t="s">
        <v>171</v>
      </c>
      <c r="J14" s="2"/>
      <c r="K14" s="2">
        <v>1</v>
      </c>
      <c r="L14" s="33">
        <v>46211</v>
      </c>
      <c r="M14" s="33">
        <v>46211</v>
      </c>
      <c r="N14" s="46">
        <v>1</v>
      </c>
      <c r="O14" s="2"/>
      <c r="P14" s="2">
        <f t="shared" si="0"/>
        <v>0</v>
      </c>
      <c r="Q14" s="33"/>
      <c r="R14" s="33"/>
      <c r="S14" s="34" t="str">
        <f t="shared" si="1"/>
        <v/>
      </c>
      <c r="T14" s="2" t="str">
        <f t="shared" si="2"/>
        <v>Yes</v>
      </c>
      <c r="U14" s="33"/>
      <c r="V14" s="33"/>
      <c r="W14" s="58"/>
      <c r="AF14" s="36">
        <v>10</v>
      </c>
      <c r="AH14" s="2"/>
      <c r="AK14" s="37" t="str">
        <f t="shared" si="3"/>
        <v/>
      </c>
      <c r="AL14" s="58"/>
    </row>
    <row r="15" spans="1:56" ht="30" customHeight="1">
      <c r="A15" s="40">
        <v>13</v>
      </c>
      <c r="B15" s="33">
        <v>46210</v>
      </c>
      <c r="C15" s="25" t="s">
        <v>194</v>
      </c>
      <c r="D15" s="25" t="s">
        <v>195</v>
      </c>
      <c r="E15" s="2" t="s">
        <v>174</v>
      </c>
      <c r="F15" s="2" t="s">
        <v>170</v>
      </c>
      <c r="G15" s="68" t="s">
        <v>40</v>
      </c>
      <c r="H15" s="68" t="s">
        <v>130</v>
      </c>
      <c r="I15" s="25" t="s">
        <v>171</v>
      </c>
      <c r="J15" s="2"/>
      <c r="K15" s="2">
        <v>1</v>
      </c>
      <c r="L15" s="33">
        <v>46211</v>
      </c>
      <c r="M15" s="33">
        <v>46211</v>
      </c>
      <c r="N15" s="46">
        <v>1</v>
      </c>
      <c r="O15" s="2"/>
      <c r="P15" s="2">
        <f t="shared" si="0"/>
        <v>0</v>
      </c>
      <c r="Q15" s="33"/>
      <c r="R15" s="33"/>
      <c r="S15" s="34" t="str">
        <f t="shared" si="1"/>
        <v/>
      </c>
      <c r="T15" s="2" t="str">
        <f t="shared" si="2"/>
        <v>Yes</v>
      </c>
      <c r="U15" s="33"/>
      <c r="V15" s="33"/>
      <c r="W15" s="58"/>
      <c r="AF15" s="36">
        <v>10</v>
      </c>
      <c r="AH15" s="2"/>
      <c r="AK15" s="37" t="str">
        <f t="shared" si="3"/>
        <v/>
      </c>
      <c r="AL15" s="58"/>
    </row>
    <row r="16" spans="1:56" ht="30" customHeight="1">
      <c r="A16" s="40">
        <v>14</v>
      </c>
      <c r="B16" s="33">
        <v>46210</v>
      </c>
      <c r="C16" s="25" t="s">
        <v>196</v>
      </c>
      <c r="D16" s="25" t="s">
        <v>197</v>
      </c>
      <c r="E16" s="2" t="s">
        <v>174</v>
      </c>
      <c r="F16" s="2" t="s">
        <v>170</v>
      </c>
      <c r="G16" s="68" t="s">
        <v>40</v>
      </c>
      <c r="H16" s="68" t="s">
        <v>130</v>
      </c>
      <c r="I16" s="25" t="s">
        <v>171</v>
      </c>
      <c r="J16" s="2"/>
      <c r="K16" s="2">
        <v>1</v>
      </c>
      <c r="L16" s="33">
        <v>46211</v>
      </c>
      <c r="M16" s="33">
        <v>46211</v>
      </c>
      <c r="N16" s="46">
        <v>1</v>
      </c>
      <c r="O16" s="2"/>
      <c r="P16" s="2">
        <f t="shared" si="0"/>
        <v>0</v>
      </c>
      <c r="Q16" s="33"/>
      <c r="R16" s="33"/>
      <c r="S16" s="34" t="str">
        <f t="shared" si="1"/>
        <v/>
      </c>
      <c r="T16" s="2" t="str">
        <f t="shared" si="2"/>
        <v>Yes</v>
      </c>
      <c r="U16" s="33"/>
      <c r="V16" s="33"/>
      <c r="W16" s="58"/>
      <c r="AF16" s="36">
        <v>10</v>
      </c>
      <c r="AH16" s="2"/>
      <c r="AK16" s="37" t="str">
        <f t="shared" si="3"/>
        <v/>
      </c>
      <c r="AL16" s="58"/>
    </row>
    <row r="17" spans="1:45" ht="30" customHeight="1">
      <c r="A17" s="40">
        <v>15</v>
      </c>
      <c r="B17" s="33">
        <v>46210</v>
      </c>
      <c r="C17" s="25" t="s">
        <v>198</v>
      </c>
      <c r="D17" s="25" t="s">
        <v>199</v>
      </c>
      <c r="E17" s="2" t="s">
        <v>174</v>
      </c>
      <c r="F17" s="2" t="s">
        <v>170</v>
      </c>
      <c r="G17" s="68" t="s">
        <v>40</v>
      </c>
      <c r="H17" s="68" t="s">
        <v>130</v>
      </c>
      <c r="I17" s="25" t="s">
        <v>171</v>
      </c>
      <c r="J17" s="2"/>
      <c r="K17" s="2">
        <v>1</v>
      </c>
      <c r="L17" s="33">
        <v>46211</v>
      </c>
      <c r="M17" s="33">
        <v>46211</v>
      </c>
      <c r="N17" s="46">
        <v>1</v>
      </c>
      <c r="O17" s="2"/>
      <c r="P17" s="2">
        <f t="shared" si="0"/>
        <v>0</v>
      </c>
      <c r="Q17" s="33"/>
      <c r="R17" s="33"/>
      <c r="S17" s="34" t="str">
        <f t="shared" si="1"/>
        <v/>
      </c>
      <c r="T17" s="2" t="str">
        <f t="shared" si="2"/>
        <v>Yes</v>
      </c>
      <c r="U17" s="33"/>
      <c r="V17" s="33"/>
      <c r="W17" s="58"/>
      <c r="AF17" s="36">
        <v>10</v>
      </c>
      <c r="AH17" s="2"/>
      <c r="AK17" s="37" t="str">
        <f t="shared" si="3"/>
        <v/>
      </c>
      <c r="AL17" s="58"/>
    </row>
    <row r="18" spans="1:45" ht="30" customHeight="1">
      <c r="A18" s="40">
        <v>16</v>
      </c>
      <c r="B18" s="33">
        <v>46210</v>
      </c>
      <c r="C18" s="25" t="s">
        <v>200</v>
      </c>
      <c r="D18" s="25" t="s">
        <v>201</v>
      </c>
      <c r="E18" s="2" t="s">
        <v>174</v>
      </c>
      <c r="F18" s="2" t="s">
        <v>170</v>
      </c>
      <c r="G18" s="68" t="s">
        <v>40</v>
      </c>
      <c r="H18" s="68" t="s">
        <v>130</v>
      </c>
      <c r="I18" s="25" t="s">
        <v>171</v>
      </c>
      <c r="J18" s="2"/>
      <c r="K18" s="2">
        <v>1</v>
      </c>
      <c r="L18" s="33">
        <v>46211</v>
      </c>
      <c r="M18" s="33">
        <v>46211</v>
      </c>
      <c r="N18" s="46">
        <v>1</v>
      </c>
      <c r="O18" s="2"/>
      <c r="P18" s="2">
        <f t="shared" si="0"/>
        <v>0</v>
      </c>
      <c r="Q18" s="33"/>
      <c r="R18" s="33"/>
      <c r="S18" s="34" t="str">
        <f t="shared" si="1"/>
        <v/>
      </c>
      <c r="T18" s="2" t="str">
        <f t="shared" si="2"/>
        <v>Yes</v>
      </c>
      <c r="U18" s="33"/>
      <c r="V18" s="33"/>
      <c r="W18" s="58"/>
      <c r="AF18" s="36">
        <v>10</v>
      </c>
      <c r="AH18" s="2"/>
      <c r="AK18" s="37" t="str">
        <f t="shared" si="3"/>
        <v/>
      </c>
      <c r="AL18" s="58"/>
    </row>
    <row r="19" spans="1:45" ht="30" customHeight="1">
      <c r="A19" s="40">
        <v>17</v>
      </c>
      <c r="B19" s="33">
        <v>46210</v>
      </c>
      <c r="C19" s="25" t="s">
        <v>202</v>
      </c>
      <c r="D19" s="25" t="s">
        <v>203</v>
      </c>
      <c r="E19" s="2" t="s">
        <v>174</v>
      </c>
      <c r="F19" s="2" t="s">
        <v>170</v>
      </c>
      <c r="G19" s="68" t="s">
        <v>39</v>
      </c>
      <c r="H19" s="68" t="s">
        <v>130</v>
      </c>
      <c r="I19" s="25" t="s">
        <v>171</v>
      </c>
      <c r="J19" s="2"/>
      <c r="K19" s="2">
        <v>1</v>
      </c>
      <c r="L19" s="33">
        <v>46211</v>
      </c>
      <c r="M19" s="33">
        <v>46211</v>
      </c>
      <c r="N19" s="46">
        <v>1</v>
      </c>
      <c r="O19" s="2"/>
      <c r="P19" s="2">
        <f t="shared" si="0"/>
        <v>0</v>
      </c>
      <c r="Q19" s="33"/>
      <c r="R19" s="33"/>
      <c r="S19" s="34" t="str">
        <f t="shared" si="1"/>
        <v/>
      </c>
      <c r="T19" s="2" t="str">
        <f t="shared" si="2"/>
        <v>Yes</v>
      </c>
      <c r="U19" s="33"/>
      <c r="V19" s="33"/>
      <c r="W19" s="58"/>
      <c r="AF19" s="36">
        <v>10</v>
      </c>
      <c r="AH19" s="2"/>
      <c r="AK19" s="37" t="str">
        <f t="shared" si="3"/>
        <v/>
      </c>
      <c r="AL19" s="58"/>
    </row>
    <row r="20" spans="1:45" ht="30" customHeight="1">
      <c r="A20" s="40">
        <v>18</v>
      </c>
      <c r="B20" s="33">
        <v>46210</v>
      </c>
      <c r="C20" s="25" t="s">
        <v>204</v>
      </c>
      <c r="D20" s="25" t="s">
        <v>205</v>
      </c>
      <c r="E20" s="2" t="s">
        <v>174</v>
      </c>
      <c r="F20" s="2" t="s">
        <v>170</v>
      </c>
      <c r="G20" s="68" t="s">
        <v>40</v>
      </c>
      <c r="H20" s="68" t="s">
        <v>130</v>
      </c>
      <c r="I20" s="25" t="s">
        <v>171</v>
      </c>
      <c r="J20" s="2"/>
      <c r="K20" s="2">
        <v>2</v>
      </c>
      <c r="L20" s="33">
        <v>46211</v>
      </c>
      <c r="M20" s="33">
        <v>46211</v>
      </c>
      <c r="N20" s="46">
        <v>1</v>
      </c>
      <c r="O20" s="2"/>
      <c r="P20" s="2">
        <f t="shared" si="0"/>
        <v>0</v>
      </c>
      <c r="Q20" s="33"/>
      <c r="R20" s="33"/>
      <c r="S20" s="34" t="str">
        <f t="shared" si="1"/>
        <v/>
      </c>
      <c r="T20" s="2" t="str">
        <f t="shared" si="2"/>
        <v>Yes</v>
      </c>
      <c r="U20" s="33"/>
      <c r="V20" s="33"/>
      <c r="W20" s="58"/>
      <c r="AF20" s="36">
        <v>10</v>
      </c>
      <c r="AH20" s="2"/>
      <c r="AK20" s="37" t="str">
        <f t="shared" si="3"/>
        <v/>
      </c>
      <c r="AL20" s="58"/>
    </row>
    <row r="21" spans="1:45" ht="30" customHeight="1">
      <c r="A21" s="40">
        <v>19</v>
      </c>
      <c r="B21" s="33">
        <v>46210</v>
      </c>
      <c r="C21" s="25" t="s">
        <v>206</v>
      </c>
      <c r="D21" s="25" t="s">
        <v>207</v>
      </c>
      <c r="E21" s="2" t="s">
        <v>174</v>
      </c>
      <c r="F21" s="2" t="s">
        <v>170</v>
      </c>
      <c r="G21" s="68" t="s">
        <v>40</v>
      </c>
      <c r="H21" s="68" t="s">
        <v>130</v>
      </c>
      <c r="I21" s="25" t="s">
        <v>171</v>
      </c>
      <c r="J21" s="2"/>
      <c r="K21" s="2">
        <v>1</v>
      </c>
      <c r="L21" s="33">
        <v>46211</v>
      </c>
      <c r="M21" s="33">
        <v>46211</v>
      </c>
      <c r="N21" s="46">
        <v>1</v>
      </c>
      <c r="O21" s="2"/>
      <c r="P21" s="2">
        <f t="shared" si="0"/>
        <v>0</v>
      </c>
      <c r="Q21" s="33"/>
      <c r="R21" s="33"/>
      <c r="S21" s="34" t="str">
        <f t="shared" si="1"/>
        <v/>
      </c>
      <c r="T21" s="2" t="str">
        <f t="shared" si="2"/>
        <v>Yes</v>
      </c>
      <c r="U21" s="33"/>
      <c r="V21" s="33"/>
      <c r="W21" s="58"/>
      <c r="AF21" s="36">
        <v>10</v>
      </c>
      <c r="AH21" s="2"/>
      <c r="AK21" s="37" t="str">
        <f t="shared" si="3"/>
        <v/>
      </c>
      <c r="AL21" s="58"/>
    </row>
    <row r="22" spans="1:45" ht="30" customHeight="1">
      <c r="A22" s="40">
        <v>20</v>
      </c>
      <c r="B22" s="33">
        <v>46210</v>
      </c>
      <c r="C22" s="25" t="s">
        <v>208</v>
      </c>
      <c r="D22" s="25" t="s">
        <v>209</v>
      </c>
      <c r="E22" s="2" t="s">
        <v>174</v>
      </c>
      <c r="F22" s="2" t="s">
        <v>170</v>
      </c>
      <c r="G22" s="68" t="s">
        <v>40</v>
      </c>
      <c r="H22" s="68" t="s">
        <v>130</v>
      </c>
      <c r="I22" s="25" t="s">
        <v>171</v>
      </c>
      <c r="J22" s="2"/>
      <c r="K22" s="2">
        <f>2+4</f>
        <v>6</v>
      </c>
      <c r="L22" s="33">
        <v>46211</v>
      </c>
      <c r="M22" s="33">
        <v>46211</v>
      </c>
      <c r="N22" s="46">
        <v>1</v>
      </c>
      <c r="O22" s="2"/>
      <c r="P22" s="2">
        <f t="shared" si="0"/>
        <v>0</v>
      </c>
      <c r="Q22" s="33"/>
      <c r="R22" s="33"/>
      <c r="S22" s="34" t="str">
        <f t="shared" si="1"/>
        <v/>
      </c>
      <c r="T22" s="2" t="str">
        <f t="shared" si="2"/>
        <v>Yes</v>
      </c>
      <c r="U22" s="33"/>
      <c r="V22" s="33"/>
      <c r="W22" s="58"/>
      <c r="AF22" s="36">
        <v>10</v>
      </c>
      <c r="AH22" s="2"/>
      <c r="AK22" s="37" t="str">
        <f t="shared" si="3"/>
        <v/>
      </c>
      <c r="AL22" s="58"/>
    </row>
    <row r="23" spans="1:45" ht="30" hidden="1" customHeight="1">
      <c r="A23" s="40">
        <v>21</v>
      </c>
      <c r="B23" s="33">
        <v>46210</v>
      </c>
      <c r="C23" s="2" t="s">
        <v>127</v>
      </c>
      <c r="D23" s="25" t="s">
        <v>128</v>
      </c>
      <c r="E23" s="2" t="s">
        <v>129</v>
      </c>
      <c r="F23" s="2" t="s">
        <v>170</v>
      </c>
      <c r="G23" s="68" t="s">
        <v>37</v>
      </c>
      <c r="H23" s="68" t="s">
        <v>130</v>
      </c>
      <c r="I23" s="25" t="s">
        <v>210</v>
      </c>
      <c r="J23" s="2">
        <v>0</v>
      </c>
      <c r="K23" s="2">
        <v>1</v>
      </c>
      <c r="L23" s="33">
        <v>46211</v>
      </c>
      <c r="M23" s="33">
        <v>46211</v>
      </c>
      <c r="N23" s="46">
        <v>0.9</v>
      </c>
      <c r="O23" s="2" t="s">
        <v>131</v>
      </c>
      <c r="P23" s="2">
        <f t="shared" si="0"/>
        <v>0</v>
      </c>
      <c r="Q23" s="33">
        <v>46233</v>
      </c>
      <c r="R23" s="33">
        <v>46218</v>
      </c>
      <c r="S23" s="34">
        <f>IF(OR(Q23="",R23=""),"",SIGN(R23-Q23)*(NETWORKDAYS(MIN(Q23,R23),MAX(Q23,R23))-1))</f>
        <v>-11</v>
      </c>
      <c r="T23" s="2" t="str">
        <f>IF(AND(N23&gt;=90%,N23&lt;=100%),"Yes","No")</f>
        <v>Yes</v>
      </c>
      <c r="U23" s="33">
        <v>46234</v>
      </c>
      <c r="V23" s="33">
        <v>46280</v>
      </c>
      <c r="W23" s="58" t="s">
        <v>132</v>
      </c>
      <c r="X23" s="35">
        <v>46237</v>
      </c>
      <c r="Y23" s="35">
        <v>46238</v>
      </c>
      <c r="Z23" s="35">
        <v>46244</v>
      </c>
      <c r="AA23" s="35">
        <v>46241</v>
      </c>
      <c r="AB23" s="35">
        <f>AJ23</f>
        <v>46290</v>
      </c>
      <c r="AC23" s="35">
        <v>46241</v>
      </c>
      <c r="AD23" s="35">
        <v>46262</v>
      </c>
      <c r="AE23" s="98" t="s">
        <v>211</v>
      </c>
      <c r="AF23" s="36">
        <v>10</v>
      </c>
      <c r="AG23" s="35">
        <v>46266</v>
      </c>
      <c r="AH23" s="2" t="s">
        <v>133</v>
      </c>
      <c r="AI23" s="35">
        <f>IF(OR(AD23="",AH23=""),"",WORKDAY(AD23,IF(AH23="Low",30,IF(AH23="Medium",45,IF(AH23="High",60,"")))))</f>
        <v>46325</v>
      </c>
      <c r="AJ23" s="35">
        <v>46290</v>
      </c>
      <c r="AK23" s="37">
        <f>IF(OR(AI23="",AJ23=""),"",SIGN(AJ23-AI23)*(NETWORKDAYS(MIN(AI23,AJ23),MAX(AI23,AJ23))-1))</f>
        <v>-25</v>
      </c>
      <c r="AL23" s="58"/>
      <c r="AS23" s="33"/>
    </row>
    <row r="24" spans="1:45" ht="30" customHeight="1">
      <c r="A24" s="40">
        <v>22</v>
      </c>
      <c r="B24" s="33">
        <v>46210</v>
      </c>
      <c r="C24" s="25" t="s">
        <v>212</v>
      </c>
      <c r="D24" s="25" t="s">
        <v>213</v>
      </c>
      <c r="E24" s="2" t="s">
        <v>174</v>
      </c>
      <c r="F24" s="2" t="s">
        <v>170</v>
      </c>
      <c r="G24" s="68" t="s">
        <v>40</v>
      </c>
      <c r="H24" s="68" t="s">
        <v>130</v>
      </c>
      <c r="I24" s="25" t="s">
        <v>171</v>
      </c>
      <c r="J24" s="2"/>
      <c r="K24" s="2">
        <v>4</v>
      </c>
      <c r="L24" s="33">
        <v>46211</v>
      </c>
      <c r="M24" s="33">
        <v>46211</v>
      </c>
      <c r="N24" s="46">
        <v>1</v>
      </c>
      <c r="O24" s="2"/>
      <c r="P24" s="2">
        <f t="shared" si="0"/>
        <v>0</v>
      </c>
      <c r="Q24" s="33"/>
      <c r="R24" s="33"/>
      <c r="S24" s="34" t="str">
        <f t="shared" si="1"/>
        <v/>
      </c>
      <c r="T24" s="2" t="str">
        <f t="shared" si="2"/>
        <v>Yes</v>
      </c>
      <c r="U24" s="33"/>
      <c r="V24" s="33"/>
      <c r="W24" s="58"/>
      <c r="AF24" s="36">
        <v>10</v>
      </c>
      <c r="AH24" s="2"/>
      <c r="AK24" s="37" t="str">
        <f t="shared" si="3"/>
        <v/>
      </c>
      <c r="AL24" s="58"/>
    </row>
    <row r="25" spans="1:45" ht="30" customHeight="1">
      <c r="A25" s="40">
        <v>23</v>
      </c>
      <c r="B25" s="33">
        <v>46210</v>
      </c>
      <c r="C25" s="25" t="s">
        <v>214</v>
      </c>
      <c r="D25" s="25" t="s">
        <v>215</v>
      </c>
      <c r="E25" s="2" t="s">
        <v>174</v>
      </c>
      <c r="F25" s="2" t="s">
        <v>170</v>
      </c>
      <c r="G25" s="68" t="s">
        <v>39</v>
      </c>
      <c r="H25" s="68" t="s">
        <v>130</v>
      </c>
      <c r="I25" s="25" t="s">
        <v>171</v>
      </c>
      <c r="J25" s="2"/>
      <c r="K25" s="2">
        <v>1</v>
      </c>
      <c r="L25" s="33">
        <v>46211</v>
      </c>
      <c r="M25" s="33">
        <v>46211</v>
      </c>
      <c r="N25" s="46">
        <v>1</v>
      </c>
      <c r="O25" s="2"/>
      <c r="P25" s="2">
        <f t="shared" si="0"/>
        <v>0</v>
      </c>
      <c r="Q25" s="33"/>
      <c r="R25" s="33"/>
      <c r="S25" s="34" t="str">
        <f t="shared" si="1"/>
        <v/>
      </c>
      <c r="T25" s="2" t="str">
        <f t="shared" si="2"/>
        <v>Yes</v>
      </c>
      <c r="U25" s="33"/>
      <c r="V25" s="33"/>
      <c r="W25" s="58"/>
      <c r="AF25" s="36">
        <v>10</v>
      </c>
      <c r="AH25" s="2"/>
      <c r="AK25" s="37" t="str">
        <f t="shared" si="3"/>
        <v/>
      </c>
      <c r="AL25" s="58"/>
    </row>
    <row r="26" spans="1:45" ht="30" customHeight="1">
      <c r="A26" s="40">
        <v>24</v>
      </c>
      <c r="B26" s="33">
        <v>46210</v>
      </c>
      <c r="C26" s="25" t="s">
        <v>216</v>
      </c>
      <c r="D26" s="25" t="s">
        <v>217</v>
      </c>
      <c r="E26" s="2" t="s">
        <v>174</v>
      </c>
      <c r="F26" s="2" t="s">
        <v>170</v>
      </c>
      <c r="G26" s="68" t="s">
        <v>40</v>
      </c>
      <c r="H26" s="68" t="s">
        <v>130</v>
      </c>
      <c r="I26" s="25" t="s">
        <v>171</v>
      </c>
      <c r="J26" s="2"/>
      <c r="K26" s="2">
        <v>1</v>
      </c>
      <c r="L26" s="33">
        <v>46211</v>
      </c>
      <c r="M26" s="33">
        <v>46211</v>
      </c>
      <c r="N26" s="46">
        <v>1</v>
      </c>
      <c r="O26" s="2"/>
      <c r="P26" s="2">
        <f t="shared" si="0"/>
        <v>0</v>
      </c>
      <c r="Q26" s="33"/>
      <c r="R26" s="33"/>
      <c r="S26" s="34" t="str">
        <f t="shared" si="1"/>
        <v/>
      </c>
      <c r="T26" s="2" t="str">
        <f t="shared" si="2"/>
        <v>Yes</v>
      </c>
      <c r="U26" s="33"/>
      <c r="V26" s="33"/>
      <c r="W26" s="58"/>
      <c r="AF26" s="36">
        <v>10</v>
      </c>
      <c r="AH26" s="2"/>
      <c r="AK26" s="37" t="str">
        <f t="shared" si="3"/>
        <v/>
      </c>
      <c r="AL26" s="58"/>
    </row>
    <row r="27" spans="1:45" ht="30" customHeight="1">
      <c r="A27" s="40">
        <v>25</v>
      </c>
      <c r="B27" s="33">
        <v>46210</v>
      </c>
      <c r="C27" s="25" t="s">
        <v>218</v>
      </c>
      <c r="D27" s="25" t="s">
        <v>219</v>
      </c>
      <c r="E27" s="2" t="s">
        <v>174</v>
      </c>
      <c r="F27" s="2" t="s">
        <v>170</v>
      </c>
      <c r="G27" s="68" t="s">
        <v>40</v>
      </c>
      <c r="H27" s="68" t="s">
        <v>130</v>
      </c>
      <c r="I27" s="25" t="s">
        <v>171</v>
      </c>
      <c r="J27" s="2"/>
      <c r="K27" s="2">
        <v>1</v>
      </c>
      <c r="L27" s="33">
        <v>46211</v>
      </c>
      <c r="M27" s="33">
        <v>46211</v>
      </c>
      <c r="N27" s="46">
        <v>1</v>
      </c>
      <c r="O27" s="2"/>
      <c r="P27" s="2">
        <f t="shared" si="0"/>
        <v>0</v>
      </c>
      <c r="Q27" s="33"/>
      <c r="R27" s="33"/>
      <c r="S27" s="34" t="str">
        <f t="shared" si="1"/>
        <v/>
      </c>
      <c r="T27" s="2" t="str">
        <f t="shared" si="2"/>
        <v>Yes</v>
      </c>
      <c r="U27" s="33"/>
      <c r="V27" s="33"/>
      <c r="W27" s="58"/>
      <c r="AF27" s="36">
        <v>10</v>
      </c>
      <c r="AH27" s="2"/>
      <c r="AK27" s="37" t="str">
        <f t="shared" si="3"/>
        <v/>
      </c>
      <c r="AL27" s="58"/>
    </row>
    <row r="28" spans="1:45" ht="30" customHeight="1">
      <c r="A28" s="40">
        <v>26</v>
      </c>
      <c r="B28" s="33">
        <v>46210</v>
      </c>
      <c r="C28" s="25" t="s">
        <v>220</v>
      </c>
      <c r="D28" s="25" t="s">
        <v>221</v>
      </c>
      <c r="E28" s="2" t="s">
        <v>174</v>
      </c>
      <c r="F28" s="2" t="s">
        <v>170</v>
      </c>
      <c r="G28" s="68" t="s">
        <v>40</v>
      </c>
      <c r="H28" s="68" t="s">
        <v>130</v>
      </c>
      <c r="I28" s="25" t="s">
        <v>171</v>
      </c>
      <c r="J28" s="2"/>
      <c r="K28" s="2">
        <v>1</v>
      </c>
      <c r="L28" s="33">
        <v>46211</v>
      </c>
      <c r="M28" s="33">
        <v>46211</v>
      </c>
      <c r="N28" s="46">
        <v>1</v>
      </c>
      <c r="O28" s="2"/>
      <c r="P28" s="2">
        <f t="shared" si="0"/>
        <v>0</v>
      </c>
      <c r="Q28" s="33"/>
      <c r="R28" s="33"/>
      <c r="S28" s="34" t="str">
        <f t="shared" si="1"/>
        <v/>
      </c>
      <c r="T28" s="2" t="str">
        <f t="shared" si="2"/>
        <v>Yes</v>
      </c>
      <c r="U28" s="33"/>
      <c r="V28" s="33"/>
      <c r="W28" s="58"/>
      <c r="AF28" s="36">
        <v>10</v>
      </c>
      <c r="AH28" s="2"/>
      <c r="AK28" s="37" t="str">
        <f t="shared" si="3"/>
        <v/>
      </c>
      <c r="AL28" s="58"/>
    </row>
    <row r="29" spans="1:45" ht="30" customHeight="1">
      <c r="A29" s="40">
        <v>27</v>
      </c>
      <c r="B29" s="33">
        <v>46210</v>
      </c>
      <c r="C29" s="25" t="s">
        <v>222</v>
      </c>
      <c r="D29" s="25" t="s">
        <v>223</v>
      </c>
      <c r="E29" s="2" t="s">
        <v>174</v>
      </c>
      <c r="F29" s="2" t="s">
        <v>170</v>
      </c>
      <c r="G29" s="68" t="s">
        <v>40</v>
      </c>
      <c r="H29" s="68" t="s">
        <v>130</v>
      </c>
      <c r="I29" s="25" t="s">
        <v>171</v>
      </c>
      <c r="J29" s="2"/>
      <c r="K29" s="2">
        <v>2</v>
      </c>
      <c r="L29" s="33">
        <v>46211</v>
      </c>
      <c r="M29" s="33">
        <v>46211</v>
      </c>
      <c r="N29" s="46">
        <v>1</v>
      </c>
      <c r="O29" s="2"/>
      <c r="P29" s="2">
        <f t="shared" si="0"/>
        <v>0</v>
      </c>
      <c r="Q29" s="33"/>
      <c r="R29" s="33"/>
      <c r="S29" s="34" t="str">
        <f t="shared" si="1"/>
        <v/>
      </c>
      <c r="T29" s="2" t="str">
        <f t="shared" si="2"/>
        <v>Yes</v>
      </c>
      <c r="U29" s="33"/>
      <c r="V29" s="33"/>
      <c r="W29" s="58"/>
      <c r="AF29" s="36">
        <v>10</v>
      </c>
      <c r="AH29" s="2"/>
      <c r="AK29" s="37" t="str">
        <f t="shared" si="3"/>
        <v/>
      </c>
      <c r="AL29" s="58"/>
    </row>
    <row r="30" spans="1:45" ht="30" customHeight="1">
      <c r="A30" s="40">
        <v>28</v>
      </c>
      <c r="B30" s="33">
        <v>46210</v>
      </c>
      <c r="C30" s="25" t="s">
        <v>224</v>
      </c>
      <c r="D30" s="25" t="s">
        <v>225</v>
      </c>
      <c r="E30" s="2" t="s">
        <v>174</v>
      </c>
      <c r="F30" s="2" t="s">
        <v>170</v>
      </c>
      <c r="G30" s="68" t="s">
        <v>40</v>
      </c>
      <c r="H30" s="68" t="s">
        <v>130</v>
      </c>
      <c r="I30" s="25" t="s">
        <v>171</v>
      </c>
      <c r="J30" s="2"/>
      <c r="K30" s="2">
        <v>2</v>
      </c>
      <c r="L30" s="33">
        <v>46211</v>
      </c>
      <c r="M30" s="33">
        <v>46211</v>
      </c>
      <c r="N30" s="46">
        <v>1</v>
      </c>
      <c r="O30" s="2"/>
      <c r="P30" s="2">
        <f t="shared" si="0"/>
        <v>0</v>
      </c>
      <c r="Q30" s="33"/>
      <c r="R30" s="33"/>
      <c r="S30" s="34" t="str">
        <f t="shared" si="1"/>
        <v/>
      </c>
      <c r="T30" s="2" t="str">
        <f t="shared" si="2"/>
        <v>Yes</v>
      </c>
      <c r="U30" s="33"/>
      <c r="V30" s="33"/>
      <c r="W30" s="58"/>
      <c r="AF30" s="36">
        <v>10</v>
      </c>
      <c r="AH30" s="2"/>
      <c r="AK30" s="37" t="str">
        <f t="shared" si="3"/>
        <v/>
      </c>
      <c r="AL30" s="58"/>
    </row>
    <row r="31" spans="1:45" ht="30" customHeight="1">
      <c r="A31" s="40">
        <v>29</v>
      </c>
      <c r="B31" s="33">
        <v>46210</v>
      </c>
      <c r="C31" s="25" t="s">
        <v>226</v>
      </c>
      <c r="D31" s="25" t="s">
        <v>227</v>
      </c>
      <c r="E31" s="2" t="s">
        <v>174</v>
      </c>
      <c r="F31" s="2" t="s">
        <v>170</v>
      </c>
      <c r="G31" s="68" t="s">
        <v>40</v>
      </c>
      <c r="H31" s="68" t="s">
        <v>130</v>
      </c>
      <c r="I31" s="25" t="s">
        <v>171</v>
      </c>
      <c r="J31" s="2"/>
      <c r="K31" s="2">
        <v>2</v>
      </c>
      <c r="L31" s="33">
        <v>46211</v>
      </c>
      <c r="M31" s="33">
        <v>46211</v>
      </c>
      <c r="N31" s="46">
        <v>1</v>
      </c>
      <c r="O31" s="2"/>
      <c r="P31" s="2">
        <f t="shared" si="0"/>
        <v>0</v>
      </c>
      <c r="Q31" s="33"/>
      <c r="R31" s="33"/>
      <c r="S31" s="34" t="str">
        <f t="shared" si="1"/>
        <v/>
      </c>
      <c r="T31" s="2" t="str">
        <f t="shared" si="2"/>
        <v>Yes</v>
      </c>
      <c r="U31" s="33"/>
      <c r="V31" s="33"/>
      <c r="W31" s="58"/>
      <c r="AF31" s="36">
        <v>10</v>
      </c>
      <c r="AH31" s="2"/>
      <c r="AK31" s="37" t="str">
        <f t="shared" si="3"/>
        <v/>
      </c>
      <c r="AL31" s="58"/>
    </row>
    <row r="32" spans="1:45" ht="30" customHeight="1">
      <c r="A32" s="40">
        <v>30</v>
      </c>
      <c r="B32" s="33">
        <v>46210</v>
      </c>
      <c r="C32" s="25" t="s">
        <v>228</v>
      </c>
      <c r="D32" s="25" t="s">
        <v>229</v>
      </c>
      <c r="E32" s="2" t="s">
        <v>174</v>
      </c>
      <c r="F32" s="2" t="s">
        <v>170</v>
      </c>
      <c r="G32" s="68" t="s">
        <v>40</v>
      </c>
      <c r="H32" s="68" t="s">
        <v>130</v>
      </c>
      <c r="I32" s="25" t="s">
        <v>171</v>
      </c>
      <c r="J32" s="2"/>
      <c r="K32" s="2">
        <v>8</v>
      </c>
      <c r="L32" s="33">
        <v>46211</v>
      </c>
      <c r="M32" s="33">
        <v>46211</v>
      </c>
      <c r="N32" s="46">
        <v>1</v>
      </c>
      <c r="O32" s="2"/>
      <c r="P32" s="2">
        <f t="shared" si="0"/>
        <v>0</v>
      </c>
      <c r="Q32" s="33"/>
      <c r="R32" s="33"/>
      <c r="S32" s="34" t="str">
        <f t="shared" si="1"/>
        <v/>
      </c>
      <c r="T32" s="2" t="str">
        <f t="shared" si="2"/>
        <v>Yes</v>
      </c>
      <c r="U32" s="33"/>
      <c r="V32" s="33"/>
      <c r="W32" s="58"/>
      <c r="AF32" s="36">
        <v>10</v>
      </c>
      <c r="AH32" s="2"/>
      <c r="AK32" s="37" t="str">
        <f t="shared" si="3"/>
        <v/>
      </c>
      <c r="AL32" s="58"/>
    </row>
    <row r="33" spans="1:38" ht="30" customHeight="1">
      <c r="A33" s="40">
        <v>31</v>
      </c>
      <c r="B33" s="33">
        <v>46210</v>
      </c>
      <c r="C33" s="25" t="s">
        <v>230</v>
      </c>
      <c r="D33" s="25" t="s">
        <v>231</v>
      </c>
      <c r="E33" s="2" t="s">
        <v>174</v>
      </c>
      <c r="F33" s="2" t="s">
        <v>170</v>
      </c>
      <c r="G33" s="68" t="s">
        <v>40</v>
      </c>
      <c r="H33" s="68" t="s">
        <v>130</v>
      </c>
      <c r="I33" s="25" t="s">
        <v>171</v>
      </c>
      <c r="J33" s="2"/>
      <c r="K33" s="2">
        <v>8</v>
      </c>
      <c r="L33" s="33">
        <v>46211</v>
      </c>
      <c r="M33" s="33">
        <v>46211</v>
      </c>
      <c r="N33" s="46">
        <v>1</v>
      </c>
      <c r="O33" s="2"/>
      <c r="P33" s="2">
        <f t="shared" si="0"/>
        <v>0</v>
      </c>
      <c r="Q33" s="33"/>
      <c r="R33" s="33"/>
      <c r="S33" s="34" t="str">
        <f t="shared" si="1"/>
        <v/>
      </c>
      <c r="T33" s="2" t="str">
        <f t="shared" si="2"/>
        <v>Yes</v>
      </c>
      <c r="U33" s="33"/>
      <c r="V33" s="33"/>
      <c r="W33" s="58"/>
      <c r="AF33" s="36">
        <v>10</v>
      </c>
      <c r="AH33" s="2"/>
      <c r="AK33" s="37" t="str">
        <f t="shared" si="3"/>
        <v/>
      </c>
      <c r="AL33" s="58"/>
    </row>
    <row r="34" spans="1:38" ht="30" customHeight="1">
      <c r="A34" s="40">
        <v>32</v>
      </c>
      <c r="B34" s="33">
        <v>46210</v>
      </c>
      <c r="C34" s="25" t="s">
        <v>232</v>
      </c>
      <c r="D34" s="25" t="s">
        <v>233</v>
      </c>
      <c r="E34" s="2" t="s">
        <v>174</v>
      </c>
      <c r="F34" s="2" t="s">
        <v>170</v>
      </c>
      <c r="G34" s="68" t="s">
        <v>40</v>
      </c>
      <c r="H34" s="68" t="s">
        <v>130</v>
      </c>
      <c r="I34" s="25" t="s">
        <v>171</v>
      </c>
      <c r="J34" s="2"/>
      <c r="K34" s="2">
        <v>2</v>
      </c>
      <c r="L34" s="33">
        <v>46211</v>
      </c>
      <c r="M34" s="33">
        <v>46211</v>
      </c>
      <c r="N34" s="46">
        <v>1</v>
      </c>
      <c r="O34" s="2"/>
      <c r="P34" s="2">
        <f t="shared" si="0"/>
        <v>0</v>
      </c>
      <c r="Q34" s="33"/>
      <c r="R34" s="33"/>
      <c r="S34" s="34" t="str">
        <f t="shared" si="1"/>
        <v/>
      </c>
      <c r="T34" s="2" t="str">
        <f t="shared" si="2"/>
        <v>Yes</v>
      </c>
      <c r="U34" s="33"/>
      <c r="V34" s="33"/>
      <c r="W34" s="58"/>
      <c r="AF34" s="36">
        <v>10</v>
      </c>
      <c r="AH34" s="2"/>
      <c r="AK34" s="37" t="str">
        <f t="shared" si="3"/>
        <v/>
      </c>
      <c r="AL34" s="58"/>
    </row>
    <row r="35" spans="1:38" ht="30" customHeight="1">
      <c r="A35" s="40">
        <v>33</v>
      </c>
      <c r="B35" s="33">
        <v>46210</v>
      </c>
      <c r="C35" s="25" t="s">
        <v>234</v>
      </c>
      <c r="D35" s="25" t="s">
        <v>235</v>
      </c>
      <c r="E35" s="2" t="s">
        <v>174</v>
      </c>
      <c r="F35" s="2" t="s">
        <v>170</v>
      </c>
      <c r="G35" s="68" t="s">
        <v>40</v>
      </c>
      <c r="H35" s="68" t="s">
        <v>130</v>
      </c>
      <c r="I35" s="25" t="s">
        <v>171</v>
      </c>
      <c r="J35" s="2"/>
      <c r="K35" s="2">
        <v>2</v>
      </c>
      <c r="L35" s="33">
        <v>46211</v>
      </c>
      <c r="M35" s="33">
        <v>46211</v>
      </c>
      <c r="N35" s="46">
        <v>1</v>
      </c>
      <c r="O35" s="2"/>
      <c r="P35" s="2">
        <f t="shared" si="0"/>
        <v>0</v>
      </c>
      <c r="Q35" s="33"/>
      <c r="R35" s="33"/>
      <c r="S35" s="34" t="str">
        <f t="shared" si="1"/>
        <v/>
      </c>
      <c r="T35" s="2" t="str">
        <f t="shared" si="2"/>
        <v>Yes</v>
      </c>
      <c r="U35" s="33"/>
      <c r="V35" s="33"/>
      <c r="W35" s="58"/>
      <c r="AF35" s="36">
        <v>10</v>
      </c>
      <c r="AH35" s="2"/>
      <c r="AK35" s="37" t="str">
        <f t="shared" si="3"/>
        <v/>
      </c>
      <c r="AL35" s="58"/>
    </row>
    <row r="36" spans="1:38" ht="30" customHeight="1">
      <c r="A36" s="40">
        <v>34</v>
      </c>
      <c r="B36" s="33">
        <v>46210</v>
      </c>
      <c r="C36" s="25" t="s">
        <v>236</v>
      </c>
      <c r="D36" s="25" t="s">
        <v>237</v>
      </c>
      <c r="E36" s="2" t="s">
        <v>174</v>
      </c>
      <c r="F36" s="2" t="s">
        <v>170</v>
      </c>
      <c r="G36" s="68" t="s">
        <v>40</v>
      </c>
      <c r="H36" s="68" t="s">
        <v>43</v>
      </c>
      <c r="I36" s="25" t="s">
        <v>171</v>
      </c>
      <c r="J36" s="2"/>
      <c r="K36" s="2">
        <v>1</v>
      </c>
      <c r="L36" s="33">
        <v>46211</v>
      </c>
      <c r="M36" s="33">
        <v>46211</v>
      </c>
      <c r="N36" s="46">
        <v>1</v>
      </c>
      <c r="O36" s="2"/>
      <c r="P36" s="2">
        <f t="shared" si="0"/>
        <v>0</v>
      </c>
      <c r="Q36" s="33"/>
      <c r="R36" s="33"/>
      <c r="S36" s="34" t="str">
        <f t="shared" si="1"/>
        <v/>
      </c>
      <c r="T36" s="2" t="str">
        <f t="shared" si="2"/>
        <v>Yes</v>
      </c>
      <c r="U36" s="33"/>
      <c r="V36" s="33"/>
      <c r="W36" s="58"/>
      <c r="AF36" s="36">
        <v>10</v>
      </c>
      <c r="AH36" s="2"/>
      <c r="AK36" s="37" t="str">
        <f t="shared" si="3"/>
        <v/>
      </c>
      <c r="AL36" s="58"/>
    </row>
    <row r="37" spans="1:38" ht="30" customHeight="1">
      <c r="A37" s="40">
        <v>35</v>
      </c>
      <c r="B37" s="33">
        <v>46210</v>
      </c>
      <c r="C37" s="25" t="s">
        <v>238</v>
      </c>
      <c r="D37" s="25" t="s">
        <v>239</v>
      </c>
      <c r="E37" s="2" t="s">
        <v>174</v>
      </c>
      <c r="F37" s="2" t="s">
        <v>170</v>
      </c>
      <c r="G37" s="68" t="s">
        <v>40</v>
      </c>
      <c r="H37" s="68" t="s">
        <v>130</v>
      </c>
      <c r="I37" s="25" t="s">
        <v>171</v>
      </c>
      <c r="J37" s="2"/>
      <c r="K37" s="2">
        <f>4+6</f>
        <v>10</v>
      </c>
      <c r="L37" s="33">
        <v>46211</v>
      </c>
      <c r="M37" s="33">
        <v>46211</v>
      </c>
      <c r="N37" s="46">
        <v>1</v>
      </c>
      <c r="O37" s="2"/>
      <c r="P37" s="2">
        <f t="shared" si="0"/>
        <v>0</v>
      </c>
      <c r="Q37" s="33"/>
      <c r="R37" s="33"/>
      <c r="S37" s="34" t="str">
        <f t="shared" si="1"/>
        <v/>
      </c>
      <c r="T37" s="2" t="str">
        <f t="shared" si="2"/>
        <v>Yes</v>
      </c>
      <c r="U37" s="33"/>
      <c r="V37" s="33"/>
      <c r="W37" s="58"/>
      <c r="AF37" s="36">
        <v>10</v>
      </c>
      <c r="AH37" s="2"/>
      <c r="AK37" s="37" t="str">
        <f t="shared" si="3"/>
        <v/>
      </c>
      <c r="AL37" s="58"/>
    </row>
    <row r="38" spans="1:38" ht="30" customHeight="1">
      <c r="A38" s="40">
        <v>36</v>
      </c>
      <c r="B38" s="33">
        <v>46210</v>
      </c>
      <c r="C38" s="25" t="s">
        <v>240</v>
      </c>
      <c r="D38" s="25" t="s">
        <v>241</v>
      </c>
      <c r="E38" s="2" t="s">
        <v>174</v>
      </c>
      <c r="F38" s="2" t="s">
        <v>170</v>
      </c>
      <c r="G38" s="68" t="s">
        <v>40</v>
      </c>
      <c r="H38" s="68" t="s">
        <v>130</v>
      </c>
      <c r="I38" s="25" t="s">
        <v>171</v>
      </c>
      <c r="J38" s="2"/>
      <c r="K38" s="2">
        <f>8+12</f>
        <v>20</v>
      </c>
      <c r="L38" s="33">
        <v>46211</v>
      </c>
      <c r="M38" s="33">
        <v>46211</v>
      </c>
      <c r="N38" s="46">
        <v>1</v>
      </c>
      <c r="O38" s="2"/>
      <c r="P38" s="2">
        <f t="shared" si="0"/>
        <v>0</v>
      </c>
      <c r="Q38" s="33"/>
      <c r="R38" s="33"/>
      <c r="S38" s="34" t="str">
        <f t="shared" si="1"/>
        <v/>
      </c>
      <c r="T38" s="2" t="str">
        <f t="shared" si="2"/>
        <v>Yes</v>
      </c>
      <c r="U38" s="33"/>
      <c r="V38" s="33"/>
      <c r="W38" s="58"/>
      <c r="AF38" s="36">
        <v>10</v>
      </c>
      <c r="AH38" s="2"/>
      <c r="AK38" s="37" t="str">
        <f t="shared" si="3"/>
        <v/>
      </c>
      <c r="AL38" s="58"/>
    </row>
    <row r="39" spans="1:38" ht="30" customHeight="1">
      <c r="A39" s="40">
        <v>37</v>
      </c>
      <c r="B39" s="33">
        <v>46210</v>
      </c>
      <c r="C39" s="25" t="s">
        <v>242</v>
      </c>
      <c r="D39" s="25" t="s">
        <v>243</v>
      </c>
      <c r="E39" s="2" t="s">
        <v>174</v>
      </c>
      <c r="F39" s="2" t="s">
        <v>170</v>
      </c>
      <c r="G39" s="68" t="s">
        <v>40</v>
      </c>
      <c r="H39" s="68" t="s">
        <v>130</v>
      </c>
      <c r="I39" s="25" t="s">
        <v>171</v>
      </c>
      <c r="J39" s="2"/>
      <c r="K39" s="2">
        <v>4</v>
      </c>
      <c r="L39" s="33">
        <v>46211</v>
      </c>
      <c r="M39" s="33">
        <v>46211</v>
      </c>
      <c r="N39" s="46">
        <v>1</v>
      </c>
      <c r="O39" s="2"/>
      <c r="P39" s="2">
        <f t="shared" si="0"/>
        <v>0</v>
      </c>
      <c r="Q39" s="33"/>
      <c r="R39" s="33"/>
      <c r="S39" s="34" t="str">
        <f t="shared" si="1"/>
        <v/>
      </c>
      <c r="T39" s="2" t="str">
        <f t="shared" si="2"/>
        <v>Yes</v>
      </c>
      <c r="U39" s="33"/>
      <c r="V39" s="33"/>
      <c r="W39" s="58"/>
      <c r="AF39" s="36">
        <v>10</v>
      </c>
      <c r="AH39" s="2"/>
      <c r="AK39" s="37" t="str">
        <f t="shared" si="3"/>
        <v/>
      </c>
      <c r="AL39" s="58"/>
    </row>
    <row r="40" spans="1:38" ht="30" customHeight="1">
      <c r="A40" s="40">
        <v>38</v>
      </c>
      <c r="B40" s="33">
        <v>46210</v>
      </c>
      <c r="C40" s="25" t="s">
        <v>244</v>
      </c>
      <c r="D40" s="25" t="s">
        <v>245</v>
      </c>
      <c r="E40" s="2" t="s">
        <v>174</v>
      </c>
      <c r="F40" s="2" t="s">
        <v>170</v>
      </c>
      <c r="G40" s="68" t="s">
        <v>40</v>
      </c>
      <c r="H40" s="68" t="s">
        <v>130</v>
      </c>
      <c r="I40" s="25" t="s">
        <v>171</v>
      </c>
      <c r="J40" s="2"/>
      <c r="K40" s="2">
        <v>4</v>
      </c>
      <c r="L40" s="33">
        <v>46211</v>
      </c>
      <c r="M40" s="33">
        <v>46211</v>
      </c>
      <c r="N40" s="46">
        <v>1</v>
      </c>
      <c r="O40" s="2"/>
      <c r="P40" s="2">
        <f t="shared" si="0"/>
        <v>0</v>
      </c>
      <c r="Q40" s="33"/>
      <c r="R40" s="33"/>
      <c r="S40" s="34" t="str">
        <f t="shared" si="1"/>
        <v/>
      </c>
      <c r="T40" s="2" t="str">
        <f t="shared" si="2"/>
        <v>Yes</v>
      </c>
      <c r="U40" s="33"/>
      <c r="V40" s="33"/>
      <c r="W40" s="58"/>
      <c r="AF40" s="36">
        <v>10</v>
      </c>
      <c r="AH40" s="2"/>
      <c r="AK40" s="37" t="str">
        <f t="shared" si="3"/>
        <v/>
      </c>
      <c r="AL40" s="58"/>
    </row>
    <row r="41" spans="1:38" ht="30" customHeight="1">
      <c r="A41" s="40">
        <v>39</v>
      </c>
      <c r="B41" s="33">
        <v>46210</v>
      </c>
      <c r="C41" s="25" t="s">
        <v>246</v>
      </c>
      <c r="D41" s="25" t="s">
        <v>247</v>
      </c>
      <c r="E41" s="2" t="s">
        <v>174</v>
      </c>
      <c r="F41" s="2" t="s">
        <v>170</v>
      </c>
      <c r="G41" s="68" t="s">
        <v>40</v>
      </c>
      <c r="H41" s="68" t="s">
        <v>130</v>
      </c>
      <c r="I41" s="25" t="s">
        <v>171</v>
      </c>
      <c r="J41" s="2"/>
      <c r="K41" s="2">
        <v>4</v>
      </c>
      <c r="L41" s="33">
        <v>46211</v>
      </c>
      <c r="M41" s="33">
        <v>46211</v>
      </c>
      <c r="N41" s="46">
        <v>1</v>
      </c>
      <c r="O41" s="2"/>
      <c r="P41" s="2">
        <f t="shared" si="0"/>
        <v>0</v>
      </c>
      <c r="Q41" s="33"/>
      <c r="R41" s="33"/>
      <c r="S41" s="34" t="str">
        <f t="shared" si="1"/>
        <v/>
      </c>
      <c r="T41" s="2" t="str">
        <f t="shared" si="2"/>
        <v>Yes</v>
      </c>
      <c r="U41" s="33"/>
      <c r="V41" s="33"/>
      <c r="W41" s="58"/>
      <c r="AF41" s="36">
        <v>10</v>
      </c>
      <c r="AH41" s="2"/>
      <c r="AK41" s="37" t="str">
        <f t="shared" si="3"/>
        <v/>
      </c>
      <c r="AL41" s="58"/>
    </row>
    <row r="42" spans="1:38" ht="30" hidden="1" customHeight="1">
      <c r="A42" s="40">
        <v>40</v>
      </c>
      <c r="B42" s="33">
        <v>46210</v>
      </c>
      <c r="C42" s="25" t="s">
        <v>127</v>
      </c>
      <c r="D42" s="25" t="s">
        <v>248</v>
      </c>
      <c r="E42" s="2" t="s">
        <v>129</v>
      </c>
      <c r="F42" s="2" t="s">
        <v>170</v>
      </c>
      <c r="G42" s="68" t="s">
        <v>37</v>
      </c>
      <c r="H42" s="68" t="s">
        <v>130</v>
      </c>
      <c r="I42" s="25" t="s">
        <v>171</v>
      </c>
      <c r="J42" s="2">
        <v>0</v>
      </c>
      <c r="K42" s="2">
        <v>1</v>
      </c>
      <c r="L42" s="33">
        <v>46211</v>
      </c>
      <c r="M42" s="33">
        <v>46211</v>
      </c>
      <c r="N42" s="46">
        <v>0.95</v>
      </c>
      <c r="O42" s="2" t="s">
        <v>131</v>
      </c>
      <c r="P42" s="2">
        <f t="shared" si="0"/>
        <v>0</v>
      </c>
      <c r="Q42" s="33"/>
      <c r="R42" s="33"/>
      <c r="S42" s="34" t="str">
        <f t="shared" si="1"/>
        <v/>
      </c>
      <c r="T42" s="2" t="str">
        <f t="shared" si="2"/>
        <v>Yes</v>
      </c>
      <c r="U42" s="33"/>
      <c r="V42" s="33"/>
      <c r="W42" s="58"/>
      <c r="AF42" s="36">
        <v>10</v>
      </c>
      <c r="AH42" s="2"/>
      <c r="AK42" s="37" t="str">
        <f t="shared" si="3"/>
        <v/>
      </c>
      <c r="AL42" s="58"/>
    </row>
    <row r="43" spans="1:38" ht="30" hidden="1" customHeight="1">
      <c r="A43" s="40">
        <v>41</v>
      </c>
      <c r="B43" s="33">
        <v>46210</v>
      </c>
      <c r="C43" s="2" t="s">
        <v>127</v>
      </c>
      <c r="D43" s="25" t="s">
        <v>135</v>
      </c>
      <c r="E43" s="2" t="s">
        <v>129</v>
      </c>
      <c r="F43" s="2" t="s">
        <v>170</v>
      </c>
      <c r="G43" s="68" t="s">
        <v>37</v>
      </c>
      <c r="H43" s="68" t="s">
        <v>130</v>
      </c>
      <c r="I43" s="25" t="s">
        <v>210</v>
      </c>
      <c r="J43" s="2" t="s">
        <v>136</v>
      </c>
      <c r="K43" s="2">
        <v>1</v>
      </c>
      <c r="L43" s="33">
        <v>46211</v>
      </c>
      <c r="M43" s="33">
        <v>46233</v>
      </c>
      <c r="N43" s="46">
        <v>0.9</v>
      </c>
      <c r="O43" s="2" t="s">
        <v>131</v>
      </c>
      <c r="P43" s="2">
        <f t="shared" si="0"/>
        <v>16</v>
      </c>
      <c r="Q43" s="33">
        <v>46233</v>
      </c>
      <c r="R43" s="33">
        <v>46233</v>
      </c>
      <c r="S43" s="34">
        <f t="shared" si="1"/>
        <v>0</v>
      </c>
      <c r="T43" s="2" t="str">
        <f t="shared" si="2"/>
        <v>Yes</v>
      </c>
      <c r="U43" s="33">
        <v>46234</v>
      </c>
      <c r="V43" s="33">
        <v>46280</v>
      </c>
      <c r="W43" s="58" t="s">
        <v>132</v>
      </c>
      <c r="X43" s="35">
        <v>46237</v>
      </c>
      <c r="Y43" s="35">
        <v>46238</v>
      </c>
      <c r="Z43" s="35">
        <v>46244</v>
      </c>
      <c r="AA43" s="35">
        <v>46241</v>
      </c>
      <c r="AC43" s="35">
        <v>46241</v>
      </c>
      <c r="AD43" s="35">
        <v>46262</v>
      </c>
      <c r="AE43" s="98" t="s">
        <v>211</v>
      </c>
      <c r="AF43" s="36">
        <v>10</v>
      </c>
      <c r="AG43" s="35">
        <v>46266</v>
      </c>
      <c r="AH43" s="2" t="s">
        <v>133</v>
      </c>
      <c r="AI43" s="35">
        <f t="shared" ref="AI43:AI46" si="4">IF(OR(AD43="",AH43=""),"",WORKDAY(AD43,IF(AH43="Low",30,IF(AH43="Medium",45,IF(AH43="High",60,"")))))</f>
        <v>46325</v>
      </c>
      <c r="AJ43" s="35">
        <v>46290</v>
      </c>
      <c r="AK43" s="37">
        <f t="shared" si="3"/>
        <v>-25</v>
      </c>
      <c r="AL43" s="58"/>
    </row>
    <row r="44" spans="1:38" ht="30" hidden="1" customHeight="1">
      <c r="A44" s="40">
        <v>42</v>
      </c>
      <c r="B44" s="33">
        <v>46210</v>
      </c>
      <c r="C44" s="2" t="s">
        <v>127</v>
      </c>
      <c r="D44" s="25" t="s">
        <v>137</v>
      </c>
      <c r="E44" s="2" t="s">
        <v>129</v>
      </c>
      <c r="F44" s="2" t="s">
        <v>170</v>
      </c>
      <c r="G44" s="68" t="s">
        <v>37</v>
      </c>
      <c r="H44" s="68" t="s">
        <v>130</v>
      </c>
      <c r="I44" s="25" t="s">
        <v>210</v>
      </c>
      <c r="J44" s="2">
        <v>0</v>
      </c>
      <c r="K44" s="2">
        <v>1</v>
      </c>
      <c r="L44" s="33">
        <v>46211</v>
      </c>
      <c r="M44" s="33">
        <v>46211</v>
      </c>
      <c r="N44" s="46">
        <v>0.9</v>
      </c>
      <c r="O44" s="2" t="s">
        <v>131</v>
      </c>
      <c r="P44" s="2">
        <f t="shared" si="0"/>
        <v>0</v>
      </c>
      <c r="Q44" s="33">
        <v>46233</v>
      </c>
      <c r="R44" s="33">
        <v>46218</v>
      </c>
      <c r="S44" s="34">
        <f t="shared" si="1"/>
        <v>-11</v>
      </c>
      <c r="T44" s="2" t="str">
        <f t="shared" si="2"/>
        <v>Yes</v>
      </c>
      <c r="U44" s="33">
        <v>46234</v>
      </c>
      <c r="V44" s="33">
        <v>46280</v>
      </c>
      <c r="W44" s="58" t="s">
        <v>132</v>
      </c>
      <c r="X44" s="35">
        <v>46237</v>
      </c>
      <c r="Y44" s="35">
        <v>46238</v>
      </c>
      <c r="Z44" s="35">
        <v>46244</v>
      </c>
      <c r="AA44" s="35">
        <v>46241</v>
      </c>
      <c r="AC44" s="35">
        <v>46241</v>
      </c>
      <c r="AD44" s="35">
        <v>46262</v>
      </c>
      <c r="AE44" s="98" t="s">
        <v>211</v>
      </c>
      <c r="AF44" s="36">
        <v>10</v>
      </c>
      <c r="AG44" s="35">
        <v>46266</v>
      </c>
      <c r="AH44" s="2" t="s">
        <v>133</v>
      </c>
      <c r="AI44" s="35">
        <f t="shared" si="4"/>
        <v>46325</v>
      </c>
      <c r="AJ44" s="35">
        <v>46290</v>
      </c>
      <c r="AK44" s="37">
        <f t="shared" si="3"/>
        <v>-25</v>
      </c>
      <c r="AL44" s="58"/>
    </row>
    <row r="45" spans="1:38" ht="30" hidden="1" customHeight="1">
      <c r="A45" s="40">
        <v>43</v>
      </c>
      <c r="B45" s="33">
        <v>46210</v>
      </c>
      <c r="C45" s="2" t="s">
        <v>127</v>
      </c>
      <c r="D45" s="25" t="s">
        <v>138</v>
      </c>
      <c r="E45" s="2" t="s">
        <v>129</v>
      </c>
      <c r="F45" s="2" t="s">
        <v>170</v>
      </c>
      <c r="G45" s="68" t="s">
        <v>37</v>
      </c>
      <c r="H45" s="68" t="s">
        <v>130</v>
      </c>
      <c r="I45" s="25" t="s">
        <v>210</v>
      </c>
      <c r="J45" s="2" t="s">
        <v>136</v>
      </c>
      <c r="K45" s="2">
        <v>1</v>
      </c>
      <c r="L45" s="33">
        <v>46211</v>
      </c>
      <c r="M45" s="33">
        <v>46233</v>
      </c>
      <c r="N45" s="46">
        <v>0.9</v>
      </c>
      <c r="O45" s="2" t="s">
        <v>131</v>
      </c>
      <c r="P45" s="2">
        <f t="shared" si="0"/>
        <v>16</v>
      </c>
      <c r="Q45" s="33">
        <v>46233</v>
      </c>
      <c r="R45" s="33">
        <v>46233</v>
      </c>
      <c r="S45" s="34">
        <f t="shared" si="1"/>
        <v>0</v>
      </c>
      <c r="T45" s="2" t="str">
        <f t="shared" si="2"/>
        <v>Yes</v>
      </c>
      <c r="U45" s="33">
        <v>46234</v>
      </c>
      <c r="V45" s="33">
        <v>46280</v>
      </c>
      <c r="W45" s="59" t="s">
        <v>132</v>
      </c>
      <c r="X45" s="35">
        <v>46237</v>
      </c>
      <c r="Y45" s="35">
        <v>46238</v>
      </c>
      <c r="Z45" s="35">
        <v>46244</v>
      </c>
      <c r="AA45" s="35">
        <v>46241</v>
      </c>
      <c r="AC45" s="35">
        <v>46241</v>
      </c>
      <c r="AD45" s="35">
        <v>46262</v>
      </c>
      <c r="AE45" s="98" t="s">
        <v>211</v>
      </c>
      <c r="AF45" s="36">
        <v>10</v>
      </c>
      <c r="AG45" s="35">
        <v>46266</v>
      </c>
      <c r="AH45" s="2" t="s">
        <v>133</v>
      </c>
      <c r="AI45" s="35">
        <f t="shared" si="4"/>
        <v>46325</v>
      </c>
      <c r="AJ45" s="35">
        <v>46290</v>
      </c>
      <c r="AK45" s="37">
        <f t="shared" si="3"/>
        <v>-25</v>
      </c>
      <c r="AL45" s="58"/>
    </row>
    <row r="46" spans="1:38" ht="30" hidden="1" customHeight="1">
      <c r="A46" s="40">
        <v>44</v>
      </c>
      <c r="B46" s="33">
        <v>46210</v>
      </c>
      <c r="C46" s="2" t="s">
        <v>127</v>
      </c>
      <c r="D46" s="25" t="s">
        <v>139</v>
      </c>
      <c r="E46" s="2" t="s">
        <v>129</v>
      </c>
      <c r="F46" s="2" t="s">
        <v>170</v>
      </c>
      <c r="G46" s="68" t="s">
        <v>37</v>
      </c>
      <c r="H46" s="68" t="s">
        <v>130</v>
      </c>
      <c r="I46" s="25" t="s">
        <v>210</v>
      </c>
      <c r="J46" s="2">
        <v>0</v>
      </c>
      <c r="K46" s="2">
        <v>2</v>
      </c>
      <c r="L46" s="33">
        <v>46211</v>
      </c>
      <c r="M46" s="33">
        <v>46211</v>
      </c>
      <c r="N46" s="46">
        <v>0.9</v>
      </c>
      <c r="O46" s="2" t="s">
        <v>131</v>
      </c>
      <c r="P46" s="2">
        <f t="shared" si="0"/>
        <v>0</v>
      </c>
      <c r="Q46" s="33">
        <v>46233</v>
      </c>
      <c r="R46" s="33">
        <v>46218</v>
      </c>
      <c r="S46" s="34">
        <f t="shared" si="1"/>
        <v>-11</v>
      </c>
      <c r="T46" s="2" t="str">
        <f t="shared" si="2"/>
        <v>Yes</v>
      </c>
      <c r="U46" s="33">
        <v>46234</v>
      </c>
      <c r="V46" s="33">
        <v>46280</v>
      </c>
      <c r="W46" s="58" t="s">
        <v>132</v>
      </c>
      <c r="X46" s="35">
        <v>46237</v>
      </c>
      <c r="Y46" s="35">
        <v>46238</v>
      </c>
      <c r="Z46" s="35">
        <v>46244</v>
      </c>
      <c r="AA46" s="35">
        <v>46241</v>
      </c>
      <c r="AC46" s="35">
        <v>46241</v>
      </c>
      <c r="AD46" s="35">
        <v>46262</v>
      </c>
      <c r="AE46" s="98" t="s">
        <v>211</v>
      </c>
      <c r="AF46" s="36">
        <v>10</v>
      </c>
      <c r="AG46" s="35">
        <v>46266</v>
      </c>
      <c r="AH46" s="2" t="s">
        <v>133</v>
      </c>
      <c r="AI46" s="35">
        <f t="shared" si="4"/>
        <v>46325</v>
      </c>
      <c r="AJ46" s="35">
        <v>46290</v>
      </c>
      <c r="AK46" s="37">
        <f t="shared" si="3"/>
        <v>-25</v>
      </c>
      <c r="AL46" s="58"/>
    </row>
    <row r="47" spans="1:38" ht="30" customHeight="1">
      <c r="A47" s="40">
        <v>45</v>
      </c>
      <c r="B47" s="33">
        <v>46210</v>
      </c>
      <c r="C47" s="25" t="s">
        <v>249</v>
      </c>
      <c r="D47" s="25" t="s">
        <v>250</v>
      </c>
      <c r="E47" s="2" t="s">
        <v>174</v>
      </c>
      <c r="F47" s="2" t="s">
        <v>170</v>
      </c>
      <c r="G47" s="68" t="s">
        <v>40</v>
      </c>
      <c r="H47" s="68" t="s">
        <v>130</v>
      </c>
      <c r="I47" s="25" t="s">
        <v>171</v>
      </c>
      <c r="J47" s="2"/>
      <c r="K47" s="2">
        <f>4+2</f>
        <v>6</v>
      </c>
      <c r="L47" s="33">
        <v>46211</v>
      </c>
      <c r="M47" s="33">
        <v>46211</v>
      </c>
      <c r="N47" s="46">
        <v>1</v>
      </c>
      <c r="O47" s="2"/>
      <c r="P47" s="2">
        <f t="shared" si="0"/>
        <v>0</v>
      </c>
      <c r="Q47" s="33"/>
      <c r="R47" s="33"/>
      <c r="S47" s="34" t="str">
        <f t="shared" si="1"/>
        <v/>
      </c>
      <c r="T47" s="2" t="str">
        <f t="shared" si="2"/>
        <v>Yes</v>
      </c>
      <c r="U47" s="33"/>
      <c r="V47" s="33"/>
      <c r="W47" s="58"/>
      <c r="AF47" s="36">
        <v>10</v>
      </c>
      <c r="AH47" s="2"/>
      <c r="AK47" s="37" t="str">
        <f t="shared" si="3"/>
        <v/>
      </c>
      <c r="AL47" s="58"/>
    </row>
    <row r="48" spans="1:38" ht="30" hidden="1" customHeight="1">
      <c r="A48" s="40">
        <v>46</v>
      </c>
      <c r="B48" s="33">
        <v>46210</v>
      </c>
      <c r="C48" s="25" t="s">
        <v>127</v>
      </c>
      <c r="D48" s="25" t="s">
        <v>251</v>
      </c>
      <c r="E48" s="2" t="s">
        <v>129</v>
      </c>
      <c r="F48" s="2" t="s">
        <v>170</v>
      </c>
      <c r="G48" s="68" t="s">
        <v>37</v>
      </c>
      <c r="H48" s="68" t="s">
        <v>130</v>
      </c>
      <c r="I48" s="25" t="s">
        <v>171</v>
      </c>
      <c r="J48" s="2">
        <v>0</v>
      </c>
      <c r="K48" s="2">
        <v>1</v>
      </c>
      <c r="L48" s="33">
        <v>46211</v>
      </c>
      <c r="M48" s="33">
        <v>46211</v>
      </c>
      <c r="N48" s="46">
        <v>0.95</v>
      </c>
      <c r="O48" s="2" t="s">
        <v>131</v>
      </c>
      <c r="P48" s="2">
        <f t="shared" si="0"/>
        <v>0</v>
      </c>
      <c r="Q48" s="33"/>
      <c r="R48" s="33"/>
      <c r="S48" s="34" t="str">
        <f t="shared" si="1"/>
        <v/>
      </c>
      <c r="T48" s="2" t="str">
        <f t="shared" si="2"/>
        <v>Yes</v>
      </c>
      <c r="U48" s="33"/>
      <c r="V48" s="33"/>
      <c r="W48" s="58"/>
      <c r="AF48" s="36">
        <v>10</v>
      </c>
      <c r="AH48" s="2"/>
      <c r="AK48" s="37" t="str">
        <f t="shared" si="3"/>
        <v/>
      </c>
      <c r="AL48" s="58"/>
    </row>
    <row r="49" spans="1:43" ht="30" customHeight="1">
      <c r="A49" s="40">
        <v>47</v>
      </c>
      <c r="B49" s="33">
        <v>46210</v>
      </c>
      <c r="C49" s="25" t="s">
        <v>127</v>
      </c>
      <c r="D49" s="25" t="s">
        <v>252</v>
      </c>
      <c r="E49" s="2" t="s">
        <v>129</v>
      </c>
      <c r="F49" s="2" t="s">
        <v>170</v>
      </c>
      <c r="G49" s="68" t="s">
        <v>37</v>
      </c>
      <c r="H49" s="68" t="s">
        <v>43</v>
      </c>
      <c r="I49" s="25" t="s">
        <v>171</v>
      </c>
      <c r="J49" s="2"/>
      <c r="K49" s="2">
        <v>1</v>
      </c>
      <c r="L49" s="33">
        <v>46211</v>
      </c>
      <c r="M49" s="33"/>
      <c r="N49" s="46">
        <v>0.95</v>
      </c>
      <c r="O49" s="2"/>
      <c r="P49" s="2" t="str">
        <f t="shared" si="0"/>
        <v/>
      </c>
      <c r="Q49" s="33"/>
      <c r="R49" s="33"/>
      <c r="S49" s="34" t="str">
        <f t="shared" si="1"/>
        <v/>
      </c>
      <c r="T49" s="2" t="str">
        <f t="shared" si="2"/>
        <v>Yes</v>
      </c>
      <c r="U49" s="33"/>
      <c r="V49" s="33"/>
      <c r="W49" s="58"/>
      <c r="AF49" s="36">
        <v>10</v>
      </c>
      <c r="AH49" s="2"/>
      <c r="AK49" s="37" t="str">
        <f t="shared" si="3"/>
        <v/>
      </c>
      <c r="AL49" s="58"/>
    </row>
    <row r="50" spans="1:43" ht="36.6" hidden="1" customHeight="1">
      <c r="A50" s="40">
        <v>48</v>
      </c>
      <c r="B50" s="33">
        <v>46210</v>
      </c>
      <c r="C50" s="2" t="s">
        <v>127</v>
      </c>
      <c r="D50" s="25" t="s">
        <v>152</v>
      </c>
      <c r="E50" s="2" t="s">
        <v>129</v>
      </c>
      <c r="F50" s="2" t="s">
        <v>170</v>
      </c>
      <c r="G50" s="68" t="s">
        <v>37</v>
      </c>
      <c r="H50" s="68" t="s">
        <v>43</v>
      </c>
      <c r="I50" s="25" t="s">
        <v>210</v>
      </c>
      <c r="J50" s="2">
        <v>0</v>
      </c>
      <c r="K50" s="2">
        <v>1</v>
      </c>
      <c r="L50" s="33">
        <v>46211</v>
      </c>
      <c r="M50" s="33">
        <v>46211</v>
      </c>
      <c r="N50" s="46">
        <v>0.8</v>
      </c>
      <c r="O50" s="2" t="s">
        <v>131</v>
      </c>
      <c r="P50" s="2">
        <f t="shared" si="0"/>
        <v>0</v>
      </c>
      <c r="Q50" s="33">
        <v>46233</v>
      </c>
      <c r="R50" s="33">
        <v>46218</v>
      </c>
      <c r="S50" s="34">
        <f t="shared" si="1"/>
        <v>-11</v>
      </c>
      <c r="T50" s="2" t="str">
        <f t="shared" si="2"/>
        <v>No</v>
      </c>
      <c r="U50" s="33">
        <v>46234</v>
      </c>
      <c r="V50" s="33">
        <v>46280</v>
      </c>
      <c r="W50" s="59" t="s">
        <v>153</v>
      </c>
      <c r="X50" s="35">
        <v>46237</v>
      </c>
      <c r="Y50" s="35">
        <v>46238</v>
      </c>
      <c r="Z50" s="35">
        <v>46244</v>
      </c>
      <c r="AE50" s="98" t="s">
        <v>253</v>
      </c>
      <c r="AF50" s="36">
        <v>10</v>
      </c>
      <c r="AG50" s="35">
        <v>46283</v>
      </c>
      <c r="AH50" s="2" t="s">
        <v>154</v>
      </c>
      <c r="AI50" s="35" t="str">
        <f>IF(OR(AD50="",AH50=""),"",WORKDAY(AD50,IF(AH50="Low",30,IF(AH50="Medium",45,IF(AH50="High",60,"")))))</f>
        <v/>
      </c>
      <c r="AK50" s="37" t="str">
        <f t="shared" si="3"/>
        <v/>
      </c>
      <c r="AL50" s="58" t="s">
        <v>254</v>
      </c>
    </row>
    <row r="51" spans="1:43" ht="30" customHeight="1">
      <c r="A51" s="40">
        <v>49</v>
      </c>
      <c r="B51" s="33">
        <v>46210</v>
      </c>
      <c r="C51" s="25" t="s">
        <v>127</v>
      </c>
      <c r="D51" s="25" t="s">
        <v>255</v>
      </c>
      <c r="E51" s="2" t="s">
        <v>129</v>
      </c>
      <c r="F51" s="2" t="s">
        <v>170</v>
      </c>
      <c r="G51" s="68" t="s">
        <v>37</v>
      </c>
      <c r="H51" s="68" t="s">
        <v>43</v>
      </c>
      <c r="I51" s="25" t="s">
        <v>171</v>
      </c>
      <c r="J51" s="2"/>
      <c r="K51" s="2">
        <v>1</v>
      </c>
      <c r="L51" s="33">
        <v>46211</v>
      </c>
      <c r="M51" s="33"/>
      <c r="N51" s="46">
        <v>0</v>
      </c>
      <c r="O51" s="2"/>
      <c r="P51" s="2" t="str">
        <f t="shared" si="0"/>
        <v/>
      </c>
      <c r="Q51" s="33"/>
      <c r="R51" s="33"/>
      <c r="S51" s="34" t="str">
        <f t="shared" si="1"/>
        <v/>
      </c>
      <c r="T51" s="2" t="str">
        <f t="shared" si="2"/>
        <v>No</v>
      </c>
      <c r="U51" s="33"/>
      <c r="V51" s="33"/>
      <c r="W51" s="58"/>
      <c r="AF51" s="36">
        <v>10</v>
      </c>
      <c r="AH51" s="2"/>
      <c r="AK51" s="37" t="str">
        <f t="shared" si="3"/>
        <v/>
      </c>
      <c r="AL51" s="58"/>
    </row>
    <row r="52" spans="1:43" ht="30" customHeight="1">
      <c r="A52" s="40">
        <v>50</v>
      </c>
      <c r="B52" s="33">
        <v>46210</v>
      </c>
      <c r="C52" s="25" t="s">
        <v>256</v>
      </c>
      <c r="D52" s="25" t="s">
        <v>257</v>
      </c>
      <c r="E52" s="2" t="s">
        <v>174</v>
      </c>
      <c r="F52" s="2" t="s">
        <v>170</v>
      </c>
      <c r="G52" s="68" t="s">
        <v>40</v>
      </c>
      <c r="H52" s="68" t="s">
        <v>130</v>
      </c>
      <c r="I52" s="25" t="s">
        <v>171</v>
      </c>
      <c r="J52" s="2"/>
      <c r="K52" s="2">
        <v>4</v>
      </c>
      <c r="L52" s="33">
        <v>46211</v>
      </c>
      <c r="M52" s="33">
        <v>46211</v>
      </c>
      <c r="N52" s="46">
        <v>1</v>
      </c>
      <c r="O52" s="2"/>
      <c r="P52" s="2">
        <f t="shared" si="0"/>
        <v>0</v>
      </c>
      <c r="Q52" s="33"/>
      <c r="R52" s="33"/>
      <c r="S52" s="34" t="str">
        <f t="shared" si="1"/>
        <v/>
      </c>
      <c r="T52" s="2" t="str">
        <f t="shared" si="2"/>
        <v>Yes</v>
      </c>
      <c r="U52" s="33"/>
      <c r="V52" s="33"/>
      <c r="W52" s="58"/>
      <c r="AF52" s="36">
        <v>10</v>
      </c>
      <c r="AH52" s="2"/>
      <c r="AK52" s="37" t="str">
        <f t="shared" si="3"/>
        <v/>
      </c>
      <c r="AL52" s="58"/>
    </row>
    <row r="53" spans="1:43" ht="30" hidden="1" customHeight="1">
      <c r="A53" s="40">
        <v>51</v>
      </c>
      <c r="B53" s="33">
        <v>46210</v>
      </c>
      <c r="C53" s="2" t="s">
        <v>127</v>
      </c>
      <c r="D53" s="25" t="s">
        <v>140</v>
      </c>
      <c r="E53" s="2" t="s">
        <v>129</v>
      </c>
      <c r="F53" s="2" t="s">
        <v>170</v>
      </c>
      <c r="G53" s="68" t="s">
        <v>37</v>
      </c>
      <c r="H53" s="68" t="s">
        <v>130</v>
      </c>
      <c r="I53" s="25" t="s">
        <v>210</v>
      </c>
      <c r="J53" s="2">
        <v>0</v>
      </c>
      <c r="K53" s="2">
        <v>1</v>
      </c>
      <c r="L53" s="33">
        <v>46211</v>
      </c>
      <c r="M53" s="33">
        <v>46211</v>
      </c>
      <c r="N53" s="46">
        <v>0.9</v>
      </c>
      <c r="O53" s="2" t="s">
        <v>131</v>
      </c>
      <c r="P53" s="2">
        <f t="shared" si="0"/>
        <v>0</v>
      </c>
      <c r="Q53" s="33">
        <v>46233</v>
      </c>
      <c r="R53" s="33">
        <v>46218</v>
      </c>
      <c r="S53" s="34">
        <f t="shared" si="1"/>
        <v>-11</v>
      </c>
      <c r="T53" s="2" t="str">
        <f t="shared" si="2"/>
        <v>Yes</v>
      </c>
      <c r="U53" s="33">
        <v>46234</v>
      </c>
      <c r="V53" s="33">
        <v>46280</v>
      </c>
      <c r="W53" s="58"/>
      <c r="X53" s="35">
        <v>46237</v>
      </c>
      <c r="Y53" s="35">
        <v>46238</v>
      </c>
      <c r="Z53" s="35">
        <v>46196</v>
      </c>
      <c r="AA53" s="35">
        <v>46251</v>
      </c>
      <c r="AC53" s="35">
        <v>46251</v>
      </c>
      <c r="AD53" s="35">
        <v>46262</v>
      </c>
      <c r="AE53" s="98" t="s">
        <v>258</v>
      </c>
      <c r="AF53" s="36">
        <v>10</v>
      </c>
      <c r="AG53" s="35">
        <v>46266</v>
      </c>
      <c r="AH53" s="2" t="s">
        <v>133</v>
      </c>
      <c r="AI53" s="35">
        <f t="shared" ref="AI53:AI60" si="5">IF(OR(AD53="",AH53=""),"",WORKDAY(AD53,IF(AH53="Low",30,IF(AH53="Medium",45,IF(AH53="High",60,"")))))</f>
        <v>46325</v>
      </c>
      <c r="AK53" s="37" t="str">
        <f t="shared" si="3"/>
        <v/>
      </c>
      <c r="AL53" s="58" t="s">
        <v>259</v>
      </c>
      <c r="AM53" s="35">
        <v>46286</v>
      </c>
      <c r="AQ53" s="95" t="s">
        <v>142</v>
      </c>
    </row>
    <row r="54" spans="1:43" ht="30" hidden="1" customHeight="1">
      <c r="A54" s="40">
        <v>52</v>
      </c>
      <c r="B54" s="33">
        <v>46210</v>
      </c>
      <c r="C54" s="2" t="s">
        <v>127</v>
      </c>
      <c r="D54" s="25" t="s">
        <v>143</v>
      </c>
      <c r="E54" s="2" t="s">
        <v>129</v>
      </c>
      <c r="F54" s="2" t="s">
        <v>170</v>
      </c>
      <c r="G54" s="68" t="s">
        <v>37</v>
      </c>
      <c r="H54" s="68" t="s">
        <v>130</v>
      </c>
      <c r="I54" s="25" t="s">
        <v>210</v>
      </c>
      <c r="J54" s="2">
        <v>0</v>
      </c>
      <c r="K54" s="2">
        <v>1</v>
      </c>
      <c r="L54" s="33">
        <v>46211</v>
      </c>
      <c r="M54" s="33">
        <v>46211</v>
      </c>
      <c r="N54" s="46">
        <v>0.9</v>
      </c>
      <c r="O54" s="2" t="s">
        <v>131</v>
      </c>
      <c r="P54" s="2">
        <f t="shared" si="0"/>
        <v>0</v>
      </c>
      <c r="Q54" s="33">
        <v>46233</v>
      </c>
      <c r="R54" s="33">
        <v>46218</v>
      </c>
      <c r="S54" s="34">
        <f t="shared" si="1"/>
        <v>-11</v>
      </c>
      <c r="T54" s="2" t="str">
        <f t="shared" si="2"/>
        <v>Yes</v>
      </c>
      <c r="U54" s="33">
        <v>46234</v>
      </c>
      <c r="V54" s="33">
        <v>46280</v>
      </c>
      <c r="W54" s="58"/>
      <c r="X54" s="35">
        <v>46237</v>
      </c>
      <c r="Y54" s="35">
        <v>46238</v>
      </c>
      <c r="Z54" s="35">
        <v>46196</v>
      </c>
      <c r="AA54" s="35">
        <v>46251</v>
      </c>
      <c r="AC54" s="35">
        <v>46251</v>
      </c>
      <c r="AD54" s="35">
        <v>46262</v>
      </c>
      <c r="AE54" s="98" t="s">
        <v>258</v>
      </c>
      <c r="AF54" s="36">
        <v>10</v>
      </c>
      <c r="AG54" s="35">
        <v>46266</v>
      </c>
      <c r="AH54" s="2" t="s">
        <v>133</v>
      </c>
      <c r="AI54" s="35">
        <f t="shared" si="5"/>
        <v>46325</v>
      </c>
      <c r="AK54" s="37" t="str">
        <f t="shared" si="3"/>
        <v/>
      </c>
      <c r="AL54" s="58" t="s">
        <v>259</v>
      </c>
      <c r="AM54" s="35">
        <v>46286</v>
      </c>
    </row>
    <row r="55" spans="1:43" ht="30" hidden="1" customHeight="1">
      <c r="A55" s="40">
        <v>53</v>
      </c>
      <c r="B55" s="33">
        <v>46210</v>
      </c>
      <c r="C55" s="2" t="s">
        <v>127</v>
      </c>
      <c r="D55" s="25" t="s">
        <v>144</v>
      </c>
      <c r="E55" s="2" t="s">
        <v>129</v>
      </c>
      <c r="F55" s="2" t="s">
        <v>170</v>
      </c>
      <c r="G55" s="68" t="s">
        <v>37</v>
      </c>
      <c r="H55" s="68" t="s">
        <v>130</v>
      </c>
      <c r="I55" s="25" t="s">
        <v>210</v>
      </c>
      <c r="J55" s="2">
        <v>0</v>
      </c>
      <c r="K55" s="2">
        <v>1</v>
      </c>
      <c r="L55" s="33">
        <v>46211</v>
      </c>
      <c r="M55" s="33">
        <v>46211</v>
      </c>
      <c r="N55" s="46">
        <v>0.9</v>
      </c>
      <c r="O55" s="2" t="s">
        <v>131</v>
      </c>
      <c r="P55" s="2">
        <f t="shared" si="0"/>
        <v>0</v>
      </c>
      <c r="Q55" s="33">
        <v>46233</v>
      </c>
      <c r="R55" s="33">
        <v>46218</v>
      </c>
      <c r="S55" s="34">
        <f t="shared" si="1"/>
        <v>-11</v>
      </c>
      <c r="T55" s="2" t="str">
        <f t="shared" si="2"/>
        <v>Yes</v>
      </c>
      <c r="U55" s="33">
        <v>46234</v>
      </c>
      <c r="V55" s="33">
        <v>46280</v>
      </c>
      <c r="W55" s="58"/>
      <c r="X55" s="35">
        <v>46237</v>
      </c>
      <c r="Y55" s="35">
        <v>46238</v>
      </c>
      <c r="Z55" s="35">
        <v>46196</v>
      </c>
      <c r="AA55" s="35">
        <v>46251</v>
      </c>
      <c r="AC55" s="35">
        <v>46251</v>
      </c>
      <c r="AD55" s="35">
        <v>46262</v>
      </c>
      <c r="AE55" s="98" t="s">
        <v>258</v>
      </c>
      <c r="AF55" s="36">
        <v>10</v>
      </c>
      <c r="AG55" s="35">
        <v>46266</v>
      </c>
      <c r="AH55" s="2" t="s">
        <v>133</v>
      </c>
      <c r="AI55" s="35">
        <f t="shared" si="5"/>
        <v>46325</v>
      </c>
      <c r="AK55" s="37" t="str">
        <f t="shared" si="3"/>
        <v/>
      </c>
      <c r="AL55" s="58" t="s">
        <v>259</v>
      </c>
      <c r="AM55" s="35">
        <v>46286</v>
      </c>
    </row>
    <row r="56" spans="1:43" ht="30" hidden="1" customHeight="1">
      <c r="A56" s="40">
        <v>54</v>
      </c>
      <c r="B56" s="33">
        <v>46210</v>
      </c>
      <c r="C56" s="2" t="s">
        <v>127</v>
      </c>
      <c r="D56" s="25" t="s">
        <v>145</v>
      </c>
      <c r="E56" s="2" t="s">
        <v>129</v>
      </c>
      <c r="F56" s="2" t="s">
        <v>170</v>
      </c>
      <c r="G56" s="68" t="s">
        <v>37</v>
      </c>
      <c r="H56" s="68" t="s">
        <v>130</v>
      </c>
      <c r="I56" s="25" t="s">
        <v>210</v>
      </c>
      <c r="J56" s="2">
        <v>0</v>
      </c>
      <c r="K56" s="2">
        <v>1</v>
      </c>
      <c r="L56" s="33">
        <v>46211</v>
      </c>
      <c r="M56" s="33">
        <v>46211</v>
      </c>
      <c r="N56" s="46">
        <v>0.9</v>
      </c>
      <c r="O56" s="2" t="s">
        <v>131</v>
      </c>
      <c r="P56" s="2">
        <f t="shared" si="0"/>
        <v>0</v>
      </c>
      <c r="Q56" s="33">
        <v>46233</v>
      </c>
      <c r="R56" s="33">
        <v>46218</v>
      </c>
      <c r="S56" s="34">
        <f t="shared" si="1"/>
        <v>-11</v>
      </c>
      <c r="T56" s="2" t="str">
        <f t="shared" si="2"/>
        <v>Yes</v>
      </c>
      <c r="U56" s="33">
        <v>46234</v>
      </c>
      <c r="V56" s="33">
        <v>46280</v>
      </c>
      <c r="W56" s="58"/>
      <c r="X56" s="35">
        <v>46237</v>
      </c>
      <c r="Y56" s="35">
        <v>46238</v>
      </c>
      <c r="Z56" s="35">
        <v>46196</v>
      </c>
      <c r="AA56" s="35">
        <v>46254</v>
      </c>
      <c r="AC56" s="35">
        <v>46251</v>
      </c>
      <c r="AD56" s="35">
        <v>46262</v>
      </c>
      <c r="AE56" s="98" t="s">
        <v>258</v>
      </c>
      <c r="AF56" s="36">
        <v>10</v>
      </c>
      <c r="AG56" s="35">
        <v>46266</v>
      </c>
      <c r="AH56" s="2" t="s">
        <v>133</v>
      </c>
      <c r="AI56" s="35">
        <f t="shared" si="5"/>
        <v>46325</v>
      </c>
      <c r="AK56" s="37" t="str">
        <f t="shared" si="3"/>
        <v/>
      </c>
      <c r="AL56" s="58" t="s">
        <v>259</v>
      </c>
      <c r="AM56" s="35">
        <v>46286</v>
      </c>
    </row>
    <row r="57" spans="1:43" ht="30" hidden="1" customHeight="1">
      <c r="A57" s="40">
        <v>55</v>
      </c>
      <c r="B57" s="33">
        <v>46210</v>
      </c>
      <c r="C57" s="2" t="s">
        <v>127</v>
      </c>
      <c r="D57" s="25" t="s">
        <v>146</v>
      </c>
      <c r="E57" s="2" t="s">
        <v>129</v>
      </c>
      <c r="F57" s="2" t="s">
        <v>170</v>
      </c>
      <c r="G57" s="68" t="s">
        <v>37</v>
      </c>
      <c r="H57" s="68" t="s">
        <v>130</v>
      </c>
      <c r="I57" s="25" t="s">
        <v>210</v>
      </c>
      <c r="J57" s="2">
        <v>0</v>
      </c>
      <c r="K57" s="2">
        <v>1</v>
      </c>
      <c r="L57" s="33">
        <v>46211</v>
      </c>
      <c r="M57" s="33">
        <v>46211</v>
      </c>
      <c r="N57" s="46">
        <v>0.9</v>
      </c>
      <c r="O57" s="2" t="s">
        <v>131</v>
      </c>
      <c r="P57" s="2">
        <f t="shared" si="0"/>
        <v>0</v>
      </c>
      <c r="Q57" s="33">
        <v>46233</v>
      </c>
      <c r="R57" s="33">
        <v>46218</v>
      </c>
      <c r="S57" s="34">
        <f t="shared" si="1"/>
        <v>-11</v>
      </c>
      <c r="T57" s="2" t="str">
        <f t="shared" si="2"/>
        <v>Yes</v>
      </c>
      <c r="U57" s="33">
        <v>46234</v>
      </c>
      <c r="V57" s="33">
        <v>46280</v>
      </c>
      <c r="W57" s="58"/>
      <c r="X57" s="35">
        <v>46237</v>
      </c>
      <c r="Y57" s="35">
        <v>46238</v>
      </c>
      <c r="Z57" s="35">
        <v>46196</v>
      </c>
      <c r="AA57" s="35">
        <v>46251</v>
      </c>
      <c r="AC57" s="35">
        <v>46251</v>
      </c>
      <c r="AD57" s="35">
        <v>46262</v>
      </c>
      <c r="AE57" s="98" t="s">
        <v>258</v>
      </c>
      <c r="AF57" s="36">
        <v>10</v>
      </c>
      <c r="AG57" s="35">
        <v>46266</v>
      </c>
      <c r="AH57" s="2" t="s">
        <v>133</v>
      </c>
      <c r="AI57" s="35">
        <f t="shared" si="5"/>
        <v>46325</v>
      </c>
      <c r="AK57" s="37" t="str">
        <f t="shared" si="3"/>
        <v/>
      </c>
      <c r="AL57" s="58" t="s">
        <v>259</v>
      </c>
      <c r="AM57" s="35">
        <v>46286</v>
      </c>
    </row>
    <row r="58" spans="1:43" ht="30" hidden="1" customHeight="1">
      <c r="A58" s="40">
        <v>56</v>
      </c>
      <c r="B58" s="33">
        <v>46210</v>
      </c>
      <c r="C58" s="2" t="s">
        <v>127</v>
      </c>
      <c r="D58" s="25" t="s">
        <v>147</v>
      </c>
      <c r="E58" s="2" t="s">
        <v>129</v>
      </c>
      <c r="F58" s="2" t="s">
        <v>170</v>
      </c>
      <c r="G58" s="68" t="s">
        <v>37</v>
      </c>
      <c r="H58" s="68" t="s">
        <v>130</v>
      </c>
      <c r="I58" s="25" t="s">
        <v>210</v>
      </c>
      <c r="J58" s="2">
        <v>0</v>
      </c>
      <c r="K58" s="2">
        <v>6</v>
      </c>
      <c r="L58" s="33">
        <v>46211</v>
      </c>
      <c r="M58" s="33">
        <v>46211</v>
      </c>
      <c r="N58" s="46">
        <v>0.9</v>
      </c>
      <c r="O58" s="2" t="s">
        <v>131</v>
      </c>
      <c r="P58" s="2">
        <f t="shared" si="0"/>
        <v>0</v>
      </c>
      <c r="Q58" s="33">
        <v>46233</v>
      </c>
      <c r="R58" s="33">
        <v>46218</v>
      </c>
      <c r="S58" s="34">
        <f t="shared" si="1"/>
        <v>-11</v>
      </c>
      <c r="T58" s="2" t="str">
        <f t="shared" si="2"/>
        <v>Yes</v>
      </c>
      <c r="U58" s="33">
        <v>46234</v>
      </c>
      <c r="V58" s="33">
        <v>46280</v>
      </c>
      <c r="W58" s="58"/>
      <c r="X58" s="35">
        <v>46237</v>
      </c>
      <c r="Y58" s="35">
        <v>46238</v>
      </c>
      <c r="Z58" s="35">
        <v>46196</v>
      </c>
      <c r="AA58" s="35">
        <v>46251</v>
      </c>
      <c r="AC58" s="35">
        <v>46251</v>
      </c>
      <c r="AD58" s="35">
        <v>46262</v>
      </c>
      <c r="AE58" s="98" t="s">
        <v>258</v>
      </c>
      <c r="AF58" s="36">
        <v>10</v>
      </c>
      <c r="AG58" s="35">
        <v>46266</v>
      </c>
      <c r="AH58" s="2" t="s">
        <v>133</v>
      </c>
      <c r="AI58" s="35">
        <f t="shared" si="5"/>
        <v>46325</v>
      </c>
      <c r="AK58" s="37" t="str">
        <f t="shared" si="3"/>
        <v/>
      </c>
      <c r="AL58" s="58" t="s">
        <v>259</v>
      </c>
      <c r="AM58" s="35">
        <v>46286</v>
      </c>
    </row>
    <row r="59" spans="1:43" ht="30" hidden="1" customHeight="1">
      <c r="A59" s="40">
        <v>57</v>
      </c>
      <c r="B59" s="33">
        <v>46210</v>
      </c>
      <c r="C59" s="2" t="s">
        <v>127</v>
      </c>
      <c r="D59" s="25" t="s">
        <v>148</v>
      </c>
      <c r="E59" s="2" t="s">
        <v>129</v>
      </c>
      <c r="F59" s="2" t="s">
        <v>170</v>
      </c>
      <c r="G59" s="68" t="s">
        <v>37</v>
      </c>
      <c r="H59" s="68" t="s">
        <v>130</v>
      </c>
      <c r="I59" s="25" t="s">
        <v>210</v>
      </c>
      <c r="J59" s="2">
        <v>0</v>
      </c>
      <c r="K59" s="2">
        <v>1</v>
      </c>
      <c r="L59" s="33">
        <v>46211</v>
      </c>
      <c r="M59" s="33">
        <v>46211</v>
      </c>
      <c r="N59" s="46">
        <v>0.9</v>
      </c>
      <c r="O59" s="2" t="s">
        <v>131</v>
      </c>
      <c r="P59" s="2">
        <f t="shared" si="0"/>
        <v>0</v>
      </c>
      <c r="Q59" s="33">
        <v>46233</v>
      </c>
      <c r="R59" s="33">
        <v>46218</v>
      </c>
      <c r="S59" s="34">
        <f t="shared" si="1"/>
        <v>-11</v>
      </c>
      <c r="T59" s="2" t="str">
        <f t="shared" si="2"/>
        <v>Yes</v>
      </c>
      <c r="U59" s="33">
        <v>46234</v>
      </c>
      <c r="V59" s="33">
        <v>46280</v>
      </c>
      <c r="W59" s="58"/>
      <c r="X59" s="35">
        <v>46237</v>
      </c>
      <c r="Y59" s="35">
        <v>46238</v>
      </c>
      <c r="Z59" s="35">
        <v>46196</v>
      </c>
      <c r="AA59" s="35">
        <v>46251</v>
      </c>
      <c r="AC59" s="35">
        <v>46251</v>
      </c>
      <c r="AD59" s="35">
        <v>46262</v>
      </c>
      <c r="AE59" s="98" t="s">
        <v>258</v>
      </c>
      <c r="AF59" s="36">
        <v>10</v>
      </c>
      <c r="AG59" s="35">
        <v>46266</v>
      </c>
      <c r="AH59" s="2" t="s">
        <v>133</v>
      </c>
      <c r="AI59" s="35">
        <f t="shared" si="5"/>
        <v>46325</v>
      </c>
      <c r="AK59" s="37" t="str">
        <f t="shared" si="3"/>
        <v/>
      </c>
      <c r="AL59" s="58" t="s">
        <v>259</v>
      </c>
      <c r="AM59" s="35">
        <v>46286</v>
      </c>
    </row>
    <row r="60" spans="1:43" ht="30" hidden="1" customHeight="1">
      <c r="A60" s="40">
        <v>58</v>
      </c>
      <c r="B60" s="33">
        <v>46210</v>
      </c>
      <c r="C60" s="2" t="s">
        <v>127</v>
      </c>
      <c r="D60" s="25" t="s">
        <v>149</v>
      </c>
      <c r="E60" s="2" t="s">
        <v>129</v>
      </c>
      <c r="F60" s="2" t="s">
        <v>170</v>
      </c>
      <c r="G60" s="68" t="s">
        <v>37</v>
      </c>
      <c r="H60" s="68" t="s">
        <v>130</v>
      </c>
      <c r="I60" s="25" t="s">
        <v>210</v>
      </c>
      <c r="J60" s="2">
        <v>0</v>
      </c>
      <c r="K60" s="2">
        <v>1</v>
      </c>
      <c r="L60" s="33">
        <v>46211</v>
      </c>
      <c r="M60" s="33">
        <v>46211</v>
      </c>
      <c r="N60" s="46">
        <v>0.9</v>
      </c>
      <c r="O60" s="2" t="s">
        <v>131</v>
      </c>
      <c r="P60" s="2">
        <f t="shared" si="0"/>
        <v>0</v>
      </c>
      <c r="Q60" s="33">
        <v>46233</v>
      </c>
      <c r="R60" s="33">
        <v>46218</v>
      </c>
      <c r="S60" s="34">
        <f t="shared" si="1"/>
        <v>-11</v>
      </c>
      <c r="T60" s="2" t="str">
        <f t="shared" si="2"/>
        <v>Yes</v>
      </c>
      <c r="U60" s="33">
        <v>46234</v>
      </c>
      <c r="V60" s="33">
        <v>46280</v>
      </c>
      <c r="W60" s="58"/>
      <c r="X60" s="35">
        <v>46237</v>
      </c>
      <c r="Y60" s="35">
        <v>46238</v>
      </c>
      <c r="Z60" s="35">
        <v>46196</v>
      </c>
      <c r="AA60" s="35">
        <v>46251</v>
      </c>
      <c r="AC60" s="35">
        <v>46251</v>
      </c>
      <c r="AD60" s="35">
        <v>46262</v>
      </c>
      <c r="AE60" s="98" t="s">
        <v>258</v>
      </c>
      <c r="AF60" s="36">
        <v>10</v>
      </c>
      <c r="AG60" s="35">
        <v>46266</v>
      </c>
      <c r="AH60" s="2" t="s">
        <v>133</v>
      </c>
      <c r="AI60" s="35">
        <f t="shared" si="5"/>
        <v>46325</v>
      </c>
      <c r="AK60" s="37" t="str">
        <f t="shared" si="3"/>
        <v/>
      </c>
      <c r="AL60" s="58" t="s">
        <v>259</v>
      </c>
      <c r="AM60" s="35">
        <v>46286</v>
      </c>
    </row>
    <row r="61" spans="1:43" ht="30" hidden="1" customHeight="1">
      <c r="A61" s="40">
        <v>59</v>
      </c>
      <c r="B61" s="33">
        <v>46210</v>
      </c>
      <c r="C61" s="2" t="s">
        <v>127</v>
      </c>
      <c r="D61" s="25" t="s">
        <v>150</v>
      </c>
      <c r="E61" s="2" t="s">
        <v>129</v>
      </c>
      <c r="F61" s="2" t="s">
        <v>170</v>
      </c>
      <c r="G61" s="68" t="s">
        <v>37</v>
      </c>
      <c r="H61" s="68" t="s">
        <v>130</v>
      </c>
      <c r="I61" s="25" t="s">
        <v>210</v>
      </c>
      <c r="J61" s="2">
        <v>0</v>
      </c>
      <c r="K61" s="2">
        <v>2</v>
      </c>
      <c r="L61" s="33">
        <v>46211</v>
      </c>
      <c r="M61" s="33">
        <v>46211</v>
      </c>
      <c r="N61" s="46">
        <v>0.9</v>
      </c>
      <c r="O61" s="2" t="s">
        <v>131</v>
      </c>
      <c r="P61" s="2">
        <f t="shared" si="0"/>
        <v>0</v>
      </c>
      <c r="Q61" s="33">
        <v>46233</v>
      </c>
      <c r="R61" s="33">
        <v>46218</v>
      </c>
      <c r="S61" s="34">
        <f t="shared" si="1"/>
        <v>-11</v>
      </c>
      <c r="T61" s="2" t="str">
        <f t="shared" si="2"/>
        <v>Yes</v>
      </c>
      <c r="U61" s="33">
        <v>46234</v>
      </c>
      <c r="V61" s="33">
        <v>46280</v>
      </c>
      <c r="W61" s="58" t="s">
        <v>151</v>
      </c>
      <c r="X61" s="35">
        <v>46237</v>
      </c>
      <c r="Y61" s="35">
        <v>46239</v>
      </c>
      <c r="Z61" s="35">
        <v>46244</v>
      </c>
      <c r="AA61" s="35">
        <v>46251</v>
      </c>
      <c r="AC61" s="35">
        <v>46251</v>
      </c>
      <c r="AD61" s="35">
        <v>46262</v>
      </c>
      <c r="AE61" s="98" t="s">
        <v>260</v>
      </c>
      <c r="AF61" s="36">
        <v>10</v>
      </c>
      <c r="AG61" s="35">
        <v>46266</v>
      </c>
      <c r="AH61" s="2" t="s">
        <v>141</v>
      </c>
      <c r="AI61" s="35">
        <f>IF(OR(AD61="",AH61=""),"",WORKDAY(AD61,IF(AH61="Low",30,IF(AH61="Medium",45,IF(AH61="High",60,"")))))</f>
        <v>46304</v>
      </c>
      <c r="AJ61" s="35">
        <v>46287</v>
      </c>
      <c r="AK61" s="37">
        <f t="shared" si="3"/>
        <v>-13</v>
      </c>
      <c r="AL61" s="58"/>
    </row>
    <row r="62" spans="1:43" ht="30" hidden="1" customHeight="1">
      <c r="A62" s="40">
        <v>60</v>
      </c>
      <c r="B62" s="33">
        <v>46210</v>
      </c>
      <c r="C62" s="2" t="s">
        <v>127</v>
      </c>
      <c r="D62" s="25" t="s">
        <v>155</v>
      </c>
      <c r="E62" s="2" t="s">
        <v>129</v>
      </c>
      <c r="F62" s="2" t="s">
        <v>170</v>
      </c>
      <c r="G62" s="68" t="s">
        <v>37</v>
      </c>
      <c r="H62" s="68" t="s">
        <v>130</v>
      </c>
      <c r="I62" s="25" t="s">
        <v>210</v>
      </c>
      <c r="J62" s="2">
        <v>0</v>
      </c>
      <c r="K62" s="2">
        <v>1</v>
      </c>
      <c r="L62" s="33">
        <v>46211</v>
      </c>
      <c r="M62" s="33">
        <v>46211</v>
      </c>
      <c r="N62" s="46">
        <v>0.9</v>
      </c>
      <c r="O62" s="2" t="s">
        <v>131</v>
      </c>
      <c r="P62" s="2">
        <f t="shared" si="0"/>
        <v>0</v>
      </c>
      <c r="Q62" s="33">
        <v>46233</v>
      </c>
      <c r="R62" s="33">
        <v>46218</v>
      </c>
      <c r="S62" s="34">
        <f t="shared" si="1"/>
        <v>-11</v>
      </c>
      <c r="T62" s="2" t="str">
        <f t="shared" si="2"/>
        <v>Yes</v>
      </c>
      <c r="U62" s="33">
        <v>46234</v>
      </c>
      <c r="V62" s="33">
        <v>46280</v>
      </c>
      <c r="W62" s="58"/>
      <c r="X62" s="35">
        <v>46237</v>
      </c>
      <c r="Y62" s="35">
        <v>46238</v>
      </c>
      <c r="AA62" s="35">
        <v>46241</v>
      </c>
      <c r="AC62" s="35">
        <v>46241</v>
      </c>
      <c r="AD62" s="35">
        <v>46262</v>
      </c>
      <c r="AE62" s="98" t="s">
        <v>211</v>
      </c>
      <c r="AF62" s="36">
        <v>10</v>
      </c>
      <c r="AG62" s="35">
        <v>46266</v>
      </c>
      <c r="AH62" s="2" t="s">
        <v>141</v>
      </c>
      <c r="AI62" s="35">
        <f t="shared" ref="AI62" si="6">IF(OR(AD62="",AH62=""),"",WORKDAY(AD62,IF(AH62="Low",30,IF(AH62="Medium",45,IF(AH62="High",60,"")))))</f>
        <v>46304</v>
      </c>
      <c r="AJ62" s="35">
        <v>46290</v>
      </c>
      <c r="AK62" s="37">
        <f t="shared" si="3"/>
        <v>-10</v>
      </c>
      <c r="AL62" s="58"/>
    </row>
    <row r="63" spans="1:43" ht="30" customHeight="1">
      <c r="A63" s="40">
        <v>61</v>
      </c>
      <c r="B63" s="33">
        <v>46210</v>
      </c>
      <c r="C63" s="25" t="s">
        <v>261</v>
      </c>
      <c r="D63" s="25" t="s">
        <v>262</v>
      </c>
      <c r="E63" s="2" t="s">
        <v>174</v>
      </c>
      <c r="F63" s="2" t="s">
        <v>170</v>
      </c>
      <c r="G63" s="68" t="s">
        <v>39</v>
      </c>
      <c r="H63" s="68" t="s">
        <v>43</v>
      </c>
      <c r="I63" s="25" t="s">
        <v>171</v>
      </c>
      <c r="J63" s="2"/>
      <c r="K63" s="2">
        <v>1</v>
      </c>
      <c r="L63" s="33">
        <v>46211</v>
      </c>
      <c r="M63" s="33">
        <v>46211</v>
      </c>
      <c r="N63" s="46">
        <v>1</v>
      </c>
      <c r="O63" s="2"/>
      <c r="P63" s="2">
        <f t="shared" si="0"/>
        <v>0</v>
      </c>
      <c r="Q63" s="33"/>
      <c r="R63" s="33"/>
      <c r="S63" s="34" t="str">
        <f t="shared" si="1"/>
        <v/>
      </c>
      <c r="T63" s="2" t="str">
        <f t="shared" si="2"/>
        <v>Yes</v>
      </c>
      <c r="U63" s="33"/>
      <c r="V63" s="33"/>
      <c r="W63" s="58"/>
      <c r="AF63" s="36">
        <v>10</v>
      </c>
      <c r="AH63" s="2"/>
      <c r="AK63" s="37" t="str">
        <f t="shared" si="3"/>
        <v/>
      </c>
      <c r="AL63" s="58"/>
    </row>
    <row r="64" spans="1:43" ht="30" customHeight="1">
      <c r="A64" s="40">
        <v>62</v>
      </c>
      <c r="B64" s="33">
        <v>46210</v>
      </c>
      <c r="C64" s="25" t="s">
        <v>263</v>
      </c>
      <c r="D64" s="25" t="s">
        <v>264</v>
      </c>
      <c r="E64" s="2" t="s">
        <v>174</v>
      </c>
      <c r="F64" s="2" t="s">
        <v>170</v>
      </c>
      <c r="G64" s="68" t="s">
        <v>40</v>
      </c>
      <c r="H64" s="68" t="s">
        <v>130</v>
      </c>
      <c r="I64" s="25" t="s">
        <v>171</v>
      </c>
      <c r="J64" s="2"/>
      <c r="K64" s="2">
        <v>2</v>
      </c>
      <c r="L64" s="33">
        <v>46211</v>
      </c>
      <c r="M64" s="33">
        <v>46211</v>
      </c>
      <c r="N64" s="46">
        <v>1</v>
      </c>
      <c r="O64" s="2"/>
      <c r="P64" s="2">
        <f t="shared" si="0"/>
        <v>0</v>
      </c>
      <c r="Q64" s="33"/>
      <c r="R64" s="33"/>
      <c r="S64" s="34" t="str">
        <f t="shared" si="1"/>
        <v/>
      </c>
      <c r="T64" s="2" t="str">
        <f t="shared" si="2"/>
        <v>Yes</v>
      </c>
      <c r="U64" s="33"/>
      <c r="V64" s="33"/>
      <c r="W64" s="58"/>
      <c r="AF64" s="36">
        <v>10</v>
      </c>
      <c r="AH64" s="2"/>
      <c r="AK64" s="37" t="str">
        <f t="shared" si="3"/>
        <v/>
      </c>
      <c r="AL64" s="58"/>
    </row>
    <row r="65" spans="1:38" ht="30" customHeight="1">
      <c r="A65" s="40">
        <v>63</v>
      </c>
      <c r="B65" s="33">
        <v>46210</v>
      </c>
      <c r="C65" s="25" t="s">
        <v>265</v>
      </c>
      <c r="D65" s="25" t="s">
        <v>266</v>
      </c>
      <c r="E65" s="2" t="s">
        <v>174</v>
      </c>
      <c r="F65" s="2" t="s">
        <v>170</v>
      </c>
      <c r="G65" s="68" t="s">
        <v>40</v>
      </c>
      <c r="H65" s="68" t="s">
        <v>130</v>
      </c>
      <c r="I65" s="25" t="s">
        <v>171</v>
      </c>
      <c r="J65" s="2"/>
      <c r="K65" s="2">
        <v>4</v>
      </c>
      <c r="L65" s="33">
        <v>46211</v>
      </c>
      <c r="M65" s="33">
        <v>46211</v>
      </c>
      <c r="N65" s="46">
        <v>1</v>
      </c>
      <c r="O65" s="2"/>
      <c r="P65" s="2">
        <f t="shared" si="0"/>
        <v>0</v>
      </c>
      <c r="Q65" s="33"/>
      <c r="R65" s="33"/>
      <c r="S65" s="34" t="str">
        <f t="shared" si="1"/>
        <v/>
      </c>
      <c r="T65" s="2" t="str">
        <f t="shared" si="2"/>
        <v>Yes</v>
      </c>
      <c r="U65" s="33"/>
      <c r="V65" s="33"/>
      <c r="W65" s="58"/>
      <c r="AF65" s="36">
        <v>10</v>
      </c>
      <c r="AH65" s="2"/>
      <c r="AK65" s="37" t="str">
        <f t="shared" si="3"/>
        <v/>
      </c>
      <c r="AL65" s="58"/>
    </row>
    <row r="66" spans="1:38" ht="30" hidden="1" customHeight="1">
      <c r="A66" s="40">
        <v>64</v>
      </c>
      <c r="B66" s="33">
        <v>46210</v>
      </c>
      <c r="C66" s="2" t="s">
        <v>127</v>
      </c>
      <c r="D66" s="25" t="s">
        <v>267</v>
      </c>
      <c r="E66" s="2" t="s">
        <v>129</v>
      </c>
      <c r="F66" s="2" t="s">
        <v>170</v>
      </c>
      <c r="G66" s="68" t="s">
        <v>37</v>
      </c>
      <c r="H66" s="68" t="s">
        <v>130</v>
      </c>
      <c r="I66" s="25" t="s">
        <v>210</v>
      </c>
      <c r="J66" s="2" t="s">
        <v>157</v>
      </c>
      <c r="K66" s="2">
        <v>1</v>
      </c>
      <c r="L66" s="33">
        <v>46211</v>
      </c>
      <c r="M66" s="33">
        <v>46233</v>
      </c>
      <c r="N66" s="46">
        <v>0.9</v>
      </c>
      <c r="O66" s="2" t="s">
        <v>131</v>
      </c>
      <c r="P66" s="2">
        <f t="shared" si="0"/>
        <v>16</v>
      </c>
      <c r="Q66" s="33">
        <v>46233</v>
      </c>
      <c r="R66" s="33">
        <v>46233</v>
      </c>
      <c r="S66" s="34">
        <f t="shared" si="1"/>
        <v>0</v>
      </c>
      <c r="T66" s="2" t="str">
        <f t="shared" si="2"/>
        <v>Yes</v>
      </c>
      <c r="U66" s="33">
        <v>46234</v>
      </c>
      <c r="V66" s="33">
        <v>46280</v>
      </c>
      <c r="W66" s="59" t="s">
        <v>158</v>
      </c>
      <c r="X66" s="35">
        <v>46283</v>
      </c>
      <c r="Y66" s="35">
        <v>46284</v>
      </c>
      <c r="Z66" s="35">
        <v>46284</v>
      </c>
      <c r="AD66" s="38"/>
      <c r="AE66" s="98"/>
      <c r="AF66" s="36">
        <v>10</v>
      </c>
      <c r="AH66" s="2" t="s">
        <v>154</v>
      </c>
      <c r="AI66" s="35" t="str">
        <f t="shared" ref="AI66:AI67" si="7">IF(OR(AD66="",AH66=""),"",WORKDAY(AD66,IF(AH66="Low",30,IF(AH66="Medium",45,IF(AH66="High",60,"")))))</f>
        <v/>
      </c>
      <c r="AK66" s="37" t="str">
        <f t="shared" si="3"/>
        <v/>
      </c>
      <c r="AL66" s="58" t="s">
        <v>268</v>
      </c>
    </row>
    <row r="67" spans="1:38" ht="30" hidden="1" customHeight="1">
      <c r="A67" s="40">
        <v>65</v>
      </c>
      <c r="B67" s="33">
        <v>46210</v>
      </c>
      <c r="C67" s="2" t="s">
        <v>127</v>
      </c>
      <c r="D67" s="25" t="s">
        <v>162</v>
      </c>
      <c r="E67" s="2" t="s">
        <v>129</v>
      </c>
      <c r="F67" s="2" t="s">
        <v>170</v>
      </c>
      <c r="G67" s="68" t="s">
        <v>37</v>
      </c>
      <c r="H67" s="68" t="s">
        <v>130</v>
      </c>
      <c r="I67" s="25" t="s">
        <v>210</v>
      </c>
      <c r="J67" s="2">
        <v>0</v>
      </c>
      <c r="K67" s="2">
        <v>1</v>
      </c>
      <c r="L67" s="33">
        <v>46211</v>
      </c>
      <c r="M67" s="33">
        <v>46211</v>
      </c>
      <c r="N67" s="46">
        <v>0.9</v>
      </c>
      <c r="O67" s="2" t="s">
        <v>131</v>
      </c>
      <c r="P67" s="2">
        <f t="shared" ref="P67:P108" si="8">IF(OR(L67="",M67=""),"",SIGN(M67-L67)*(NETWORKDAYS(MIN(L67,M67),MAX(L67,M67))-1))</f>
        <v>0</v>
      </c>
      <c r="Q67" s="33">
        <v>46233</v>
      </c>
      <c r="R67" s="33">
        <v>46218</v>
      </c>
      <c r="S67" s="34">
        <f t="shared" ref="S67:S108" si="9">IF(OR(Q67="",R67=""),"",SIGN(R67-Q67)*(NETWORKDAYS(MIN(Q67,R67),MAX(Q67,R67))-1))</f>
        <v>-11</v>
      </c>
      <c r="T67" s="2" t="str">
        <f t="shared" ref="T67:T108" si="10">IF(AND(N67&gt;=90%,N67&lt;=100%),"Yes","No")</f>
        <v>Yes</v>
      </c>
      <c r="U67" s="33">
        <v>46234</v>
      </c>
      <c r="V67" s="33">
        <v>46280</v>
      </c>
      <c r="W67" s="58"/>
      <c r="X67" s="35">
        <v>46237</v>
      </c>
      <c r="Y67" s="35">
        <v>46238</v>
      </c>
      <c r="Z67" s="35">
        <v>46244</v>
      </c>
      <c r="AA67" s="35">
        <v>46241</v>
      </c>
      <c r="AC67" s="35">
        <v>46241</v>
      </c>
      <c r="AD67" s="35">
        <v>46262</v>
      </c>
      <c r="AE67" s="98" t="s">
        <v>211</v>
      </c>
      <c r="AF67" s="36">
        <v>10</v>
      </c>
      <c r="AG67" s="35">
        <v>46266</v>
      </c>
      <c r="AH67" s="2" t="s">
        <v>141</v>
      </c>
      <c r="AI67" s="35">
        <f t="shared" si="7"/>
        <v>46304</v>
      </c>
      <c r="AJ67" s="35">
        <v>46290</v>
      </c>
      <c r="AK67" s="37">
        <f t="shared" si="3"/>
        <v>-10</v>
      </c>
      <c r="AL67" s="58"/>
    </row>
    <row r="68" spans="1:38" ht="30" customHeight="1">
      <c r="A68" s="40">
        <v>66</v>
      </c>
      <c r="B68" s="33">
        <v>46210</v>
      </c>
      <c r="C68" s="25" t="s">
        <v>127</v>
      </c>
      <c r="D68" s="25" t="s">
        <v>269</v>
      </c>
      <c r="E68" s="2" t="s">
        <v>129</v>
      </c>
      <c r="F68" s="2" t="s">
        <v>170</v>
      </c>
      <c r="G68" s="68" t="s">
        <v>37</v>
      </c>
      <c r="H68" s="68" t="s">
        <v>130</v>
      </c>
      <c r="I68" s="25" t="s">
        <v>171</v>
      </c>
      <c r="J68" s="2"/>
      <c r="K68" s="2">
        <v>1</v>
      </c>
      <c r="L68" s="33">
        <v>46211</v>
      </c>
      <c r="M68" s="33"/>
      <c r="N68" s="46">
        <v>0.95</v>
      </c>
      <c r="O68" s="2"/>
      <c r="P68" s="2" t="str">
        <f t="shared" si="8"/>
        <v/>
      </c>
      <c r="Q68" s="33"/>
      <c r="R68" s="33"/>
      <c r="S68" s="34" t="str">
        <f t="shared" si="9"/>
        <v/>
      </c>
      <c r="T68" s="2" t="str">
        <f t="shared" si="10"/>
        <v>Yes</v>
      </c>
      <c r="U68" s="33"/>
      <c r="V68" s="33"/>
      <c r="W68" s="58"/>
      <c r="AF68" s="36">
        <v>10</v>
      </c>
      <c r="AH68" s="2"/>
      <c r="AK68" s="37" t="str">
        <f t="shared" ref="AK68:AK108" si="11">IF(OR(AI68="",AJ68=""),"",SIGN(AJ68-AI68)*(NETWORKDAYS(MIN(AI68,AJ68),MAX(AI68,AJ68))-1))</f>
        <v/>
      </c>
      <c r="AL68" s="58"/>
    </row>
    <row r="69" spans="1:38" ht="30" customHeight="1">
      <c r="A69" s="40">
        <v>67</v>
      </c>
      <c r="B69" s="33">
        <v>46210</v>
      </c>
      <c r="C69" s="25" t="s">
        <v>127</v>
      </c>
      <c r="D69" s="25" t="s">
        <v>270</v>
      </c>
      <c r="E69" s="2" t="s">
        <v>129</v>
      </c>
      <c r="F69" s="2" t="s">
        <v>170</v>
      </c>
      <c r="G69" s="68" t="s">
        <v>37</v>
      </c>
      <c r="H69" s="68" t="s">
        <v>43</v>
      </c>
      <c r="I69" s="25" t="s">
        <v>171</v>
      </c>
      <c r="J69" s="2"/>
      <c r="K69" s="2">
        <v>1</v>
      </c>
      <c r="L69" s="33">
        <v>46211</v>
      </c>
      <c r="M69" s="33"/>
      <c r="N69" s="46">
        <v>0.95</v>
      </c>
      <c r="O69" s="2"/>
      <c r="P69" s="2" t="str">
        <f t="shared" si="8"/>
        <v/>
      </c>
      <c r="Q69" s="33"/>
      <c r="R69" s="33"/>
      <c r="S69" s="34" t="str">
        <f t="shared" si="9"/>
        <v/>
      </c>
      <c r="T69" s="2" t="str">
        <f t="shared" si="10"/>
        <v>Yes</v>
      </c>
      <c r="U69" s="33"/>
      <c r="V69" s="33"/>
      <c r="W69" s="58"/>
      <c r="AF69" s="36">
        <v>10</v>
      </c>
      <c r="AH69" s="2"/>
      <c r="AK69" s="37" t="str">
        <f t="shared" si="11"/>
        <v/>
      </c>
      <c r="AL69" s="58"/>
    </row>
    <row r="70" spans="1:38" ht="30" customHeight="1">
      <c r="A70" s="40">
        <v>68</v>
      </c>
      <c r="B70" s="33">
        <v>46210</v>
      </c>
      <c r="C70" s="25" t="s">
        <v>127</v>
      </c>
      <c r="D70" s="25" t="s">
        <v>271</v>
      </c>
      <c r="E70" s="2" t="s">
        <v>129</v>
      </c>
      <c r="F70" s="2" t="s">
        <v>170</v>
      </c>
      <c r="G70" s="68" t="s">
        <v>37</v>
      </c>
      <c r="H70" s="68" t="s">
        <v>43</v>
      </c>
      <c r="I70" s="25" t="s">
        <v>171</v>
      </c>
      <c r="J70" s="2"/>
      <c r="K70" s="2">
        <v>1</v>
      </c>
      <c r="L70" s="33">
        <v>46211</v>
      </c>
      <c r="M70" s="33"/>
      <c r="N70" s="46">
        <v>0</v>
      </c>
      <c r="O70" s="2"/>
      <c r="P70" s="2" t="str">
        <f t="shared" si="8"/>
        <v/>
      </c>
      <c r="Q70" s="33"/>
      <c r="R70" s="33"/>
      <c r="S70" s="34" t="str">
        <f t="shared" si="9"/>
        <v/>
      </c>
      <c r="T70" s="2" t="str">
        <f t="shared" si="10"/>
        <v>No</v>
      </c>
      <c r="U70" s="33"/>
      <c r="V70" s="33"/>
      <c r="W70" s="58"/>
      <c r="AF70" s="36">
        <v>10</v>
      </c>
      <c r="AH70" s="2"/>
      <c r="AK70" s="37" t="str">
        <f t="shared" si="11"/>
        <v/>
      </c>
      <c r="AL70" s="58"/>
    </row>
    <row r="71" spans="1:38" ht="30" customHeight="1">
      <c r="A71" s="40">
        <v>70</v>
      </c>
      <c r="B71" s="33">
        <v>46210</v>
      </c>
      <c r="C71" s="25" t="s">
        <v>127</v>
      </c>
      <c r="D71" s="25" t="s">
        <v>272</v>
      </c>
      <c r="E71" s="2" t="s">
        <v>129</v>
      </c>
      <c r="F71" s="2" t="s">
        <v>170</v>
      </c>
      <c r="G71" s="68" t="s">
        <v>37</v>
      </c>
      <c r="H71" s="68" t="s">
        <v>43</v>
      </c>
      <c r="I71" s="25" t="s">
        <v>171</v>
      </c>
      <c r="J71" s="2"/>
      <c r="K71" s="2">
        <v>1</v>
      </c>
      <c r="L71" s="33">
        <v>46211</v>
      </c>
      <c r="M71" s="33"/>
      <c r="N71" s="46">
        <v>0</v>
      </c>
      <c r="O71" s="2"/>
      <c r="P71" s="2" t="str">
        <f t="shared" si="8"/>
        <v/>
      </c>
      <c r="Q71" s="33"/>
      <c r="R71" s="33"/>
      <c r="S71" s="34" t="str">
        <f t="shared" si="9"/>
        <v/>
      </c>
      <c r="T71" s="2" t="str">
        <f t="shared" si="10"/>
        <v>No</v>
      </c>
      <c r="U71" s="33"/>
      <c r="V71" s="33"/>
      <c r="W71" s="58"/>
      <c r="AF71" s="36">
        <v>10</v>
      </c>
      <c r="AH71" s="2"/>
      <c r="AK71" s="37" t="str">
        <f t="shared" si="11"/>
        <v/>
      </c>
      <c r="AL71" s="58"/>
    </row>
    <row r="72" spans="1:38" ht="30" hidden="1" customHeight="1">
      <c r="A72" s="40">
        <v>69</v>
      </c>
      <c r="B72" s="33">
        <v>46210</v>
      </c>
      <c r="C72" s="2" t="s">
        <v>127</v>
      </c>
      <c r="D72" s="25" t="s">
        <v>159</v>
      </c>
      <c r="E72" s="2" t="s">
        <v>129</v>
      </c>
      <c r="F72" s="2" t="s">
        <v>170</v>
      </c>
      <c r="G72" s="68" t="s">
        <v>37</v>
      </c>
      <c r="H72" s="68" t="s">
        <v>43</v>
      </c>
      <c r="I72" s="25" t="s">
        <v>210</v>
      </c>
      <c r="J72" s="2" t="s">
        <v>136</v>
      </c>
      <c r="K72" s="2">
        <v>1</v>
      </c>
      <c r="L72" s="33">
        <v>46211</v>
      </c>
      <c r="M72" s="33">
        <v>46239</v>
      </c>
      <c r="N72" s="46">
        <v>0.9</v>
      </c>
      <c r="O72" s="2" t="s">
        <v>131</v>
      </c>
      <c r="P72" s="2">
        <f>IF(OR(L72="",M72=""),"",SIGN(M72-L72)*(NETWORKDAYS(MIN(L72,M72),MAX(L72,M72))-1))</f>
        <v>20</v>
      </c>
      <c r="Q72" s="33">
        <v>46233</v>
      </c>
      <c r="R72" s="33">
        <v>46240</v>
      </c>
      <c r="S72" s="34">
        <f>IF(OR(Q72="",R72=""),"",SIGN(R72-Q72)*(NETWORKDAYS(MIN(Q72,R72),MAX(Q72,R72))-1))</f>
        <v>5</v>
      </c>
      <c r="T72" s="2" t="str">
        <f>IF(AND(N72&gt;=90%,N72&lt;=100%),"Yes","No")</f>
        <v>Yes</v>
      </c>
      <c r="U72" s="33">
        <v>46234</v>
      </c>
      <c r="V72" s="33">
        <v>46280</v>
      </c>
      <c r="W72" s="59" t="s">
        <v>160</v>
      </c>
      <c r="X72" s="35">
        <v>46237</v>
      </c>
      <c r="Y72" s="35">
        <v>46247</v>
      </c>
      <c r="Z72" s="35">
        <v>46244</v>
      </c>
      <c r="AA72" s="35">
        <v>46267</v>
      </c>
      <c r="AC72" s="35">
        <v>46276</v>
      </c>
      <c r="AD72" s="35">
        <v>46276</v>
      </c>
      <c r="AE72" s="98" t="s">
        <v>273</v>
      </c>
      <c r="AF72" s="36">
        <v>10</v>
      </c>
      <c r="AG72" s="35" t="s">
        <v>274</v>
      </c>
      <c r="AH72" s="2" t="s">
        <v>154</v>
      </c>
      <c r="AI72" s="35">
        <f>IF(OR(AD72="",AH72=""),"",WORKDAY(AD72,IF(AH72="Low",30,IF(AH72="Medium",45,IF(AH72="High",60,"")))))</f>
        <v>46360</v>
      </c>
      <c r="AJ72" s="35">
        <v>46283</v>
      </c>
      <c r="AK72" s="37">
        <f t="shared" si="11"/>
        <v>-55</v>
      </c>
      <c r="AL72" s="58" t="s">
        <v>275</v>
      </c>
    </row>
    <row r="73" spans="1:38" ht="30" customHeight="1">
      <c r="A73" s="40">
        <v>71</v>
      </c>
      <c r="B73" s="33">
        <v>46210</v>
      </c>
      <c r="C73" s="25" t="s">
        <v>127</v>
      </c>
      <c r="D73" s="25" t="s">
        <v>276</v>
      </c>
      <c r="E73" s="2" t="s">
        <v>129</v>
      </c>
      <c r="F73" s="2" t="s">
        <v>170</v>
      </c>
      <c r="G73" s="68" t="s">
        <v>37</v>
      </c>
      <c r="H73" s="68" t="s">
        <v>43</v>
      </c>
      <c r="I73" s="25" t="s">
        <v>171</v>
      </c>
      <c r="J73" s="2"/>
      <c r="K73" s="2">
        <v>2</v>
      </c>
      <c r="L73" s="33">
        <v>46211</v>
      </c>
      <c r="M73" s="33"/>
      <c r="N73" s="46">
        <v>0</v>
      </c>
      <c r="O73" s="2"/>
      <c r="P73" s="2" t="str">
        <f t="shared" si="8"/>
        <v/>
      </c>
      <c r="Q73" s="33"/>
      <c r="R73" s="33"/>
      <c r="S73" s="34" t="str">
        <f t="shared" si="9"/>
        <v/>
      </c>
      <c r="T73" s="2" t="str">
        <f t="shared" si="10"/>
        <v>No</v>
      </c>
      <c r="U73" s="33"/>
      <c r="V73" s="33"/>
      <c r="W73" s="58"/>
      <c r="AF73" s="36">
        <v>10</v>
      </c>
      <c r="AH73" s="2"/>
      <c r="AK73" s="37" t="str">
        <f t="shared" si="11"/>
        <v/>
      </c>
      <c r="AL73" s="58"/>
    </row>
    <row r="74" spans="1:38" ht="30" customHeight="1">
      <c r="A74" s="40">
        <v>72</v>
      </c>
      <c r="B74" s="33">
        <v>46210</v>
      </c>
      <c r="C74" s="25" t="s">
        <v>277</v>
      </c>
      <c r="D74" s="25" t="s">
        <v>278</v>
      </c>
      <c r="E74" s="2" t="s">
        <v>174</v>
      </c>
      <c r="F74" s="2" t="s">
        <v>170</v>
      </c>
      <c r="G74" s="68" t="s">
        <v>40</v>
      </c>
      <c r="H74" s="68" t="s">
        <v>130</v>
      </c>
      <c r="I74" s="25" t="s">
        <v>171</v>
      </c>
      <c r="J74" s="2"/>
      <c r="K74" s="2">
        <v>6</v>
      </c>
      <c r="L74" s="33">
        <v>46211</v>
      </c>
      <c r="M74" s="33">
        <v>46211</v>
      </c>
      <c r="N74" s="46">
        <v>1</v>
      </c>
      <c r="O74" s="2"/>
      <c r="P74" s="2">
        <f t="shared" si="8"/>
        <v>0</v>
      </c>
      <c r="Q74" s="33"/>
      <c r="R74" s="33"/>
      <c r="S74" s="34" t="str">
        <f t="shared" si="9"/>
        <v/>
      </c>
      <c r="T74" s="2" t="str">
        <f t="shared" si="10"/>
        <v>Yes</v>
      </c>
      <c r="U74" s="33"/>
      <c r="V74" s="33"/>
      <c r="W74" s="58"/>
      <c r="AF74" s="36">
        <v>10</v>
      </c>
      <c r="AH74" s="2"/>
      <c r="AK74" s="37" t="str">
        <f t="shared" si="11"/>
        <v/>
      </c>
      <c r="AL74" s="58"/>
    </row>
    <row r="75" spans="1:38" ht="30" customHeight="1">
      <c r="A75" s="40">
        <v>73</v>
      </c>
      <c r="B75" s="33">
        <v>46210</v>
      </c>
      <c r="C75" s="25" t="s">
        <v>127</v>
      </c>
      <c r="D75" s="25" t="s">
        <v>279</v>
      </c>
      <c r="E75" s="2" t="s">
        <v>129</v>
      </c>
      <c r="F75" s="2" t="s">
        <v>170</v>
      </c>
      <c r="G75" s="68" t="s">
        <v>37</v>
      </c>
      <c r="H75" s="68" t="s">
        <v>130</v>
      </c>
      <c r="I75" s="25" t="s">
        <v>171</v>
      </c>
      <c r="J75" s="2"/>
      <c r="K75" s="2">
        <v>1</v>
      </c>
      <c r="L75" s="33">
        <v>46211</v>
      </c>
      <c r="M75" s="33"/>
      <c r="N75" s="46">
        <v>0.95</v>
      </c>
      <c r="O75" s="2"/>
      <c r="P75" s="2" t="str">
        <f t="shared" si="8"/>
        <v/>
      </c>
      <c r="Q75" s="33"/>
      <c r="R75" s="33"/>
      <c r="S75" s="34" t="str">
        <f t="shared" si="9"/>
        <v/>
      </c>
      <c r="T75" s="2" t="str">
        <f t="shared" si="10"/>
        <v>Yes</v>
      </c>
      <c r="U75" s="33"/>
      <c r="V75" s="33"/>
      <c r="W75" s="58"/>
      <c r="AF75" s="36">
        <v>10</v>
      </c>
      <c r="AH75" s="2"/>
      <c r="AK75" s="37" t="str">
        <f t="shared" si="11"/>
        <v/>
      </c>
      <c r="AL75" s="58"/>
    </row>
    <row r="76" spans="1:38" ht="30" customHeight="1">
      <c r="A76" s="40">
        <v>74</v>
      </c>
      <c r="B76" s="33">
        <v>46210</v>
      </c>
      <c r="C76" s="25" t="s">
        <v>280</v>
      </c>
      <c r="D76" s="25" t="s">
        <v>281</v>
      </c>
      <c r="E76" s="2" t="s">
        <v>174</v>
      </c>
      <c r="F76" s="2" t="s">
        <v>170</v>
      </c>
      <c r="G76" s="68" t="s">
        <v>40</v>
      </c>
      <c r="H76" s="68" t="s">
        <v>130</v>
      </c>
      <c r="I76" s="25" t="s">
        <v>171</v>
      </c>
      <c r="J76" s="2"/>
      <c r="K76" s="2">
        <v>4</v>
      </c>
      <c r="L76" s="33">
        <v>46211</v>
      </c>
      <c r="M76" s="33">
        <v>46211</v>
      </c>
      <c r="N76" s="46">
        <v>1</v>
      </c>
      <c r="O76" s="2"/>
      <c r="P76" s="2">
        <f t="shared" si="8"/>
        <v>0</v>
      </c>
      <c r="Q76" s="33"/>
      <c r="R76" s="33"/>
      <c r="S76" s="34" t="str">
        <f t="shared" si="9"/>
        <v/>
      </c>
      <c r="T76" s="2" t="str">
        <f t="shared" si="10"/>
        <v>Yes</v>
      </c>
      <c r="U76" s="33"/>
      <c r="V76" s="33"/>
      <c r="W76" s="58"/>
      <c r="AF76" s="36">
        <v>10</v>
      </c>
      <c r="AH76" s="2"/>
      <c r="AK76" s="37" t="str">
        <f t="shared" si="11"/>
        <v/>
      </c>
      <c r="AL76" s="58"/>
    </row>
    <row r="77" spans="1:38" ht="30" customHeight="1">
      <c r="A77" s="40">
        <v>75</v>
      </c>
      <c r="B77" s="33">
        <v>46210</v>
      </c>
      <c r="C77" s="25" t="s">
        <v>282</v>
      </c>
      <c r="D77" s="25" t="s">
        <v>283</v>
      </c>
      <c r="E77" s="2" t="s">
        <v>174</v>
      </c>
      <c r="F77" s="2" t="s">
        <v>170</v>
      </c>
      <c r="G77" s="68" t="s">
        <v>40</v>
      </c>
      <c r="H77" s="68" t="s">
        <v>130</v>
      </c>
      <c r="I77" s="25" t="s">
        <v>171</v>
      </c>
      <c r="J77" s="2"/>
      <c r="K77" s="2">
        <v>1</v>
      </c>
      <c r="L77" s="33">
        <v>46211</v>
      </c>
      <c r="M77" s="33">
        <v>46211</v>
      </c>
      <c r="N77" s="46">
        <v>1</v>
      </c>
      <c r="O77" s="2"/>
      <c r="P77" s="2">
        <f t="shared" si="8"/>
        <v>0</v>
      </c>
      <c r="Q77" s="33"/>
      <c r="R77" s="33"/>
      <c r="S77" s="34" t="str">
        <f t="shared" si="9"/>
        <v/>
      </c>
      <c r="T77" s="2" t="str">
        <f t="shared" si="10"/>
        <v>Yes</v>
      </c>
      <c r="U77" s="33"/>
      <c r="V77" s="33"/>
      <c r="W77" s="58"/>
      <c r="AF77" s="36">
        <v>10</v>
      </c>
      <c r="AH77" s="2"/>
      <c r="AK77" s="37" t="str">
        <f t="shared" si="11"/>
        <v/>
      </c>
      <c r="AL77" s="58"/>
    </row>
    <row r="78" spans="1:38" ht="30" customHeight="1">
      <c r="A78" s="40">
        <v>76</v>
      </c>
      <c r="B78" s="33">
        <v>46210</v>
      </c>
      <c r="C78" s="25" t="s">
        <v>284</v>
      </c>
      <c r="D78" s="25" t="s">
        <v>285</v>
      </c>
      <c r="E78" s="2" t="s">
        <v>174</v>
      </c>
      <c r="F78" s="2" t="s">
        <v>170</v>
      </c>
      <c r="G78" s="68" t="s">
        <v>40</v>
      </c>
      <c r="H78" s="68" t="s">
        <v>130</v>
      </c>
      <c r="I78" s="25" t="s">
        <v>171</v>
      </c>
      <c r="J78" s="2"/>
      <c r="K78" s="2">
        <v>1</v>
      </c>
      <c r="L78" s="33">
        <v>46211</v>
      </c>
      <c r="M78" s="33">
        <v>46211</v>
      </c>
      <c r="N78" s="46">
        <v>1</v>
      </c>
      <c r="O78" s="2"/>
      <c r="P78" s="2">
        <f t="shared" si="8"/>
        <v>0</v>
      </c>
      <c r="Q78" s="33"/>
      <c r="R78" s="33"/>
      <c r="S78" s="34" t="str">
        <f t="shared" si="9"/>
        <v/>
      </c>
      <c r="T78" s="2" t="str">
        <f t="shared" si="10"/>
        <v>Yes</v>
      </c>
      <c r="U78" s="33"/>
      <c r="V78" s="33"/>
      <c r="W78" s="58"/>
      <c r="AF78" s="36">
        <v>10</v>
      </c>
      <c r="AH78" s="2"/>
      <c r="AK78" s="37" t="str">
        <f t="shared" si="11"/>
        <v/>
      </c>
      <c r="AL78" s="58"/>
    </row>
    <row r="79" spans="1:38" ht="30" customHeight="1">
      <c r="A79" s="40">
        <v>77</v>
      </c>
      <c r="B79" s="33">
        <v>46210</v>
      </c>
      <c r="C79" s="25" t="s">
        <v>286</v>
      </c>
      <c r="D79" s="25" t="s">
        <v>287</v>
      </c>
      <c r="E79" s="2" t="s">
        <v>174</v>
      </c>
      <c r="F79" s="2" t="s">
        <v>170</v>
      </c>
      <c r="G79" s="68" t="s">
        <v>40</v>
      </c>
      <c r="H79" s="68" t="s">
        <v>130</v>
      </c>
      <c r="I79" s="25" t="s">
        <v>171</v>
      </c>
      <c r="J79" s="2"/>
      <c r="K79" s="2">
        <v>1</v>
      </c>
      <c r="L79" s="33">
        <v>46211</v>
      </c>
      <c r="M79" s="33">
        <v>46211</v>
      </c>
      <c r="N79" s="46">
        <v>1</v>
      </c>
      <c r="O79" s="2"/>
      <c r="P79" s="2">
        <f t="shared" si="8"/>
        <v>0</v>
      </c>
      <c r="Q79" s="33"/>
      <c r="R79" s="33"/>
      <c r="S79" s="34" t="str">
        <f t="shared" si="9"/>
        <v/>
      </c>
      <c r="T79" s="2" t="str">
        <f t="shared" si="10"/>
        <v>Yes</v>
      </c>
      <c r="U79" s="33"/>
      <c r="V79" s="33"/>
      <c r="W79" s="58"/>
      <c r="AF79" s="36">
        <v>10</v>
      </c>
      <c r="AH79" s="2"/>
      <c r="AK79" s="37" t="str">
        <f t="shared" si="11"/>
        <v/>
      </c>
      <c r="AL79" s="58"/>
    </row>
    <row r="80" spans="1:38" ht="30" customHeight="1">
      <c r="A80" s="40">
        <v>78</v>
      </c>
      <c r="B80" s="33">
        <v>46210</v>
      </c>
      <c r="C80" s="25" t="s">
        <v>288</v>
      </c>
      <c r="D80" s="25" t="s">
        <v>289</v>
      </c>
      <c r="E80" s="2" t="s">
        <v>174</v>
      </c>
      <c r="F80" s="2" t="s">
        <v>170</v>
      </c>
      <c r="G80" s="68" t="s">
        <v>40</v>
      </c>
      <c r="H80" s="68" t="s">
        <v>43</v>
      </c>
      <c r="I80" s="25" t="s">
        <v>171</v>
      </c>
      <c r="J80" s="2"/>
      <c r="K80" s="2">
        <v>1</v>
      </c>
      <c r="L80" s="33">
        <v>46211</v>
      </c>
      <c r="M80" s="33">
        <v>46211</v>
      </c>
      <c r="N80" s="46">
        <v>1</v>
      </c>
      <c r="O80" s="2"/>
      <c r="P80" s="2">
        <f t="shared" si="8"/>
        <v>0</v>
      </c>
      <c r="Q80" s="33"/>
      <c r="R80" s="33"/>
      <c r="S80" s="34" t="str">
        <f t="shared" si="9"/>
        <v/>
      </c>
      <c r="T80" s="2" t="str">
        <f t="shared" si="10"/>
        <v>Yes</v>
      </c>
      <c r="U80" s="33"/>
      <c r="V80" s="33"/>
      <c r="W80" s="58"/>
      <c r="AF80" s="36">
        <v>10</v>
      </c>
      <c r="AH80" s="2"/>
      <c r="AK80" s="37" t="str">
        <f t="shared" si="11"/>
        <v/>
      </c>
      <c r="AL80" s="58"/>
    </row>
    <row r="81" spans="1:38" ht="30" customHeight="1">
      <c r="A81" s="40">
        <v>79</v>
      </c>
      <c r="B81" s="33">
        <v>46210</v>
      </c>
      <c r="C81" s="25" t="s">
        <v>290</v>
      </c>
      <c r="D81" s="25" t="s">
        <v>291</v>
      </c>
      <c r="E81" s="2" t="s">
        <v>174</v>
      </c>
      <c r="F81" s="2" t="s">
        <v>170</v>
      </c>
      <c r="G81" s="68" t="s">
        <v>40</v>
      </c>
      <c r="H81" s="68" t="s">
        <v>43</v>
      </c>
      <c r="I81" s="25" t="s">
        <v>171</v>
      </c>
      <c r="J81" s="2"/>
      <c r="K81" s="2">
        <v>1</v>
      </c>
      <c r="L81" s="33">
        <v>46211</v>
      </c>
      <c r="M81" s="33">
        <v>46211</v>
      </c>
      <c r="N81" s="46">
        <v>1</v>
      </c>
      <c r="O81" s="2"/>
      <c r="P81" s="2">
        <f t="shared" si="8"/>
        <v>0</v>
      </c>
      <c r="Q81" s="33"/>
      <c r="R81" s="33"/>
      <c r="S81" s="34" t="str">
        <f t="shared" si="9"/>
        <v/>
      </c>
      <c r="T81" s="2" t="str">
        <f t="shared" si="10"/>
        <v>Yes</v>
      </c>
      <c r="U81" s="33"/>
      <c r="V81" s="33"/>
      <c r="W81" s="58"/>
      <c r="AF81" s="36">
        <v>10</v>
      </c>
      <c r="AH81" s="2"/>
      <c r="AK81" s="37" t="str">
        <f t="shared" si="11"/>
        <v/>
      </c>
      <c r="AL81" s="58"/>
    </row>
    <row r="82" spans="1:38" ht="30" customHeight="1">
      <c r="A82" s="40">
        <v>80</v>
      </c>
      <c r="B82" s="33">
        <v>46210</v>
      </c>
      <c r="C82" s="25" t="s">
        <v>292</v>
      </c>
      <c r="D82" s="25" t="s">
        <v>293</v>
      </c>
      <c r="E82" s="2" t="s">
        <v>174</v>
      </c>
      <c r="F82" s="2" t="s">
        <v>170</v>
      </c>
      <c r="G82" s="68" t="s">
        <v>40</v>
      </c>
      <c r="H82" s="68" t="s">
        <v>43</v>
      </c>
      <c r="I82" s="25" t="s">
        <v>171</v>
      </c>
      <c r="J82" s="2"/>
      <c r="K82" s="2">
        <v>1</v>
      </c>
      <c r="L82" s="33">
        <v>46211</v>
      </c>
      <c r="M82" s="33">
        <v>46211</v>
      </c>
      <c r="N82" s="46">
        <v>1</v>
      </c>
      <c r="O82" s="2"/>
      <c r="P82" s="2">
        <f t="shared" si="8"/>
        <v>0</v>
      </c>
      <c r="Q82" s="33"/>
      <c r="R82" s="33"/>
      <c r="S82" s="34" t="str">
        <f t="shared" si="9"/>
        <v/>
      </c>
      <c r="T82" s="2" t="str">
        <f t="shared" si="10"/>
        <v>Yes</v>
      </c>
      <c r="U82" s="33"/>
      <c r="V82" s="33"/>
      <c r="W82" s="58"/>
      <c r="AF82" s="36">
        <v>10</v>
      </c>
      <c r="AH82" s="2"/>
      <c r="AK82" s="37" t="str">
        <f t="shared" si="11"/>
        <v/>
      </c>
      <c r="AL82" s="58"/>
    </row>
    <row r="83" spans="1:38" ht="30" customHeight="1">
      <c r="A83" s="40">
        <v>81</v>
      </c>
      <c r="B83" s="33">
        <v>46210</v>
      </c>
      <c r="C83" s="25" t="s">
        <v>294</v>
      </c>
      <c r="D83" s="25" t="s">
        <v>295</v>
      </c>
      <c r="E83" s="2" t="s">
        <v>174</v>
      </c>
      <c r="F83" s="2" t="s">
        <v>170</v>
      </c>
      <c r="G83" s="68" t="s">
        <v>40</v>
      </c>
      <c r="H83" s="68" t="s">
        <v>43</v>
      </c>
      <c r="I83" s="25" t="s">
        <v>171</v>
      </c>
      <c r="J83" s="2"/>
      <c r="K83" s="2">
        <v>1</v>
      </c>
      <c r="L83" s="33">
        <v>46211</v>
      </c>
      <c r="M83" s="33">
        <v>46211</v>
      </c>
      <c r="N83" s="46">
        <v>1</v>
      </c>
      <c r="O83" s="2"/>
      <c r="P83" s="2">
        <f t="shared" si="8"/>
        <v>0</v>
      </c>
      <c r="Q83" s="33"/>
      <c r="R83" s="33"/>
      <c r="S83" s="34" t="str">
        <f t="shared" si="9"/>
        <v/>
      </c>
      <c r="T83" s="2" t="str">
        <f t="shared" si="10"/>
        <v>Yes</v>
      </c>
      <c r="U83" s="33"/>
      <c r="V83" s="33"/>
      <c r="W83" s="58"/>
      <c r="AF83" s="36">
        <v>10</v>
      </c>
      <c r="AH83" s="2"/>
      <c r="AK83" s="37" t="str">
        <f t="shared" si="11"/>
        <v/>
      </c>
      <c r="AL83" s="58"/>
    </row>
    <row r="84" spans="1:38" ht="30" customHeight="1">
      <c r="A84" s="40">
        <v>82</v>
      </c>
      <c r="B84" s="33">
        <v>46210</v>
      </c>
      <c r="C84" s="25" t="s">
        <v>296</v>
      </c>
      <c r="D84" s="25" t="s">
        <v>297</v>
      </c>
      <c r="E84" s="2" t="s">
        <v>174</v>
      </c>
      <c r="F84" s="2" t="s">
        <v>170</v>
      </c>
      <c r="G84" s="68" t="s">
        <v>40</v>
      </c>
      <c r="H84" s="68" t="s">
        <v>130</v>
      </c>
      <c r="I84" s="25" t="s">
        <v>171</v>
      </c>
      <c r="J84" s="2"/>
      <c r="K84" s="2">
        <v>1</v>
      </c>
      <c r="L84" s="33">
        <v>46211</v>
      </c>
      <c r="M84" s="33">
        <v>46211</v>
      </c>
      <c r="N84" s="46">
        <v>1</v>
      </c>
      <c r="O84" s="2"/>
      <c r="P84" s="2">
        <f t="shared" si="8"/>
        <v>0</v>
      </c>
      <c r="Q84" s="33"/>
      <c r="R84" s="33"/>
      <c r="S84" s="34" t="str">
        <f t="shared" si="9"/>
        <v/>
      </c>
      <c r="T84" s="2" t="str">
        <f t="shared" si="10"/>
        <v>Yes</v>
      </c>
      <c r="U84" s="33"/>
      <c r="V84" s="33"/>
      <c r="W84" s="58"/>
      <c r="AF84" s="36">
        <v>10</v>
      </c>
      <c r="AH84" s="2"/>
      <c r="AK84" s="37" t="str">
        <f t="shared" si="11"/>
        <v/>
      </c>
      <c r="AL84" s="58"/>
    </row>
    <row r="85" spans="1:38" ht="30" customHeight="1">
      <c r="A85" s="40">
        <v>83</v>
      </c>
      <c r="B85" s="33">
        <v>46210</v>
      </c>
      <c r="C85" s="25" t="s">
        <v>298</v>
      </c>
      <c r="D85" s="25" t="s">
        <v>299</v>
      </c>
      <c r="E85" s="2" t="s">
        <v>174</v>
      </c>
      <c r="F85" s="2" t="s">
        <v>170</v>
      </c>
      <c r="G85" s="68" t="s">
        <v>40</v>
      </c>
      <c r="H85" s="68" t="s">
        <v>130</v>
      </c>
      <c r="I85" s="25" t="s">
        <v>171</v>
      </c>
      <c r="J85" s="2"/>
      <c r="K85" s="2">
        <v>1</v>
      </c>
      <c r="L85" s="33">
        <v>46211</v>
      </c>
      <c r="M85" s="33">
        <v>46211</v>
      </c>
      <c r="N85" s="46">
        <v>1</v>
      </c>
      <c r="O85" s="2"/>
      <c r="P85" s="2">
        <f t="shared" si="8"/>
        <v>0</v>
      </c>
      <c r="Q85" s="33"/>
      <c r="R85" s="33"/>
      <c r="S85" s="34" t="str">
        <f t="shared" si="9"/>
        <v/>
      </c>
      <c r="T85" s="2" t="str">
        <f t="shared" si="10"/>
        <v>Yes</v>
      </c>
      <c r="U85" s="33"/>
      <c r="V85" s="33"/>
      <c r="W85" s="58"/>
      <c r="AF85" s="36">
        <v>10</v>
      </c>
      <c r="AH85" s="2"/>
      <c r="AK85" s="37" t="str">
        <f t="shared" si="11"/>
        <v/>
      </c>
      <c r="AL85" s="58"/>
    </row>
    <row r="86" spans="1:38" ht="30" customHeight="1">
      <c r="A86" s="40">
        <v>84</v>
      </c>
      <c r="B86" s="33">
        <v>46210</v>
      </c>
      <c r="C86" s="25" t="s">
        <v>300</v>
      </c>
      <c r="D86" s="25" t="s">
        <v>301</v>
      </c>
      <c r="E86" s="2" t="s">
        <v>174</v>
      </c>
      <c r="F86" s="2" t="s">
        <v>170</v>
      </c>
      <c r="G86" s="68" t="s">
        <v>40</v>
      </c>
      <c r="H86" s="68" t="s">
        <v>130</v>
      </c>
      <c r="I86" s="25" t="s">
        <v>171</v>
      </c>
      <c r="J86" s="2"/>
      <c r="K86" s="2">
        <v>2.5000000000000001E-2</v>
      </c>
      <c r="L86" s="33">
        <v>46211</v>
      </c>
      <c r="M86" s="33">
        <v>46211</v>
      </c>
      <c r="N86" s="46">
        <v>1</v>
      </c>
      <c r="O86" s="2"/>
      <c r="P86" s="2">
        <f t="shared" si="8"/>
        <v>0</v>
      </c>
      <c r="Q86" s="33"/>
      <c r="R86" s="33"/>
      <c r="S86" s="34" t="str">
        <f t="shared" si="9"/>
        <v/>
      </c>
      <c r="T86" s="2" t="str">
        <f t="shared" si="10"/>
        <v>Yes</v>
      </c>
      <c r="U86" s="33"/>
      <c r="V86" s="33"/>
      <c r="W86" s="58"/>
      <c r="AF86" s="36">
        <v>10</v>
      </c>
      <c r="AH86" s="2"/>
      <c r="AK86" s="37" t="str">
        <f t="shared" si="11"/>
        <v/>
      </c>
      <c r="AL86" s="58"/>
    </row>
    <row r="87" spans="1:38" ht="30" customHeight="1">
      <c r="A87" s="40">
        <v>85</v>
      </c>
      <c r="B87" s="33">
        <v>46210</v>
      </c>
      <c r="C87" s="25" t="s">
        <v>302</v>
      </c>
      <c r="D87" s="25" t="s">
        <v>303</v>
      </c>
      <c r="E87" s="2" t="s">
        <v>174</v>
      </c>
      <c r="F87" s="2" t="s">
        <v>170</v>
      </c>
      <c r="G87" s="68" t="s">
        <v>39</v>
      </c>
      <c r="H87" s="68" t="s">
        <v>43</v>
      </c>
      <c r="I87" s="25" t="s">
        <v>171</v>
      </c>
      <c r="J87" s="2"/>
      <c r="K87" s="2">
        <v>1</v>
      </c>
      <c r="L87" s="33">
        <v>46211</v>
      </c>
      <c r="M87" s="33">
        <v>46211</v>
      </c>
      <c r="N87" s="46">
        <v>1</v>
      </c>
      <c r="O87" s="2"/>
      <c r="P87" s="2">
        <f t="shared" si="8"/>
        <v>0</v>
      </c>
      <c r="Q87" s="33"/>
      <c r="R87" s="33"/>
      <c r="S87" s="34" t="str">
        <f t="shared" si="9"/>
        <v/>
      </c>
      <c r="T87" s="2" t="str">
        <f t="shared" si="10"/>
        <v>Yes</v>
      </c>
      <c r="U87" s="33"/>
      <c r="V87" s="33"/>
      <c r="W87" s="58"/>
      <c r="AF87" s="36">
        <v>10</v>
      </c>
      <c r="AH87" s="2"/>
      <c r="AK87" s="37" t="str">
        <f t="shared" si="11"/>
        <v/>
      </c>
      <c r="AL87" s="58"/>
    </row>
    <row r="88" spans="1:38" ht="30" customHeight="1">
      <c r="A88" s="40">
        <v>86</v>
      </c>
      <c r="B88" s="33">
        <v>46210</v>
      </c>
      <c r="C88" s="25" t="s">
        <v>304</v>
      </c>
      <c r="D88" s="25" t="s">
        <v>305</v>
      </c>
      <c r="E88" s="2" t="s">
        <v>174</v>
      </c>
      <c r="F88" s="2" t="s">
        <v>170</v>
      </c>
      <c r="G88" s="68" t="s">
        <v>40</v>
      </c>
      <c r="H88" s="68" t="s">
        <v>130</v>
      </c>
      <c r="I88" s="25" t="s">
        <v>171</v>
      </c>
      <c r="J88" s="2"/>
      <c r="K88" s="2">
        <v>4</v>
      </c>
      <c r="L88" s="33">
        <v>46211</v>
      </c>
      <c r="M88" s="33">
        <v>46211</v>
      </c>
      <c r="N88" s="46">
        <v>1</v>
      </c>
      <c r="O88" s="2"/>
      <c r="P88" s="2">
        <f t="shared" si="8"/>
        <v>0</v>
      </c>
      <c r="Q88" s="33"/>
      <c r="R88" s="33"/>
      <c r="S88" s="34" t="str">
        <f t="shared" si="9"/>
        <v/>
      </c>
      <c r="T88" s="2" t="str">
        <f t="shared" si="10"/>
        <v>Yes</v>
      </c>
      <c r="U88" s="33"/>
      <c r="V88" s="33"/>
      <c r="W88" s="58"/>
      <c r="AF88" s="36">
        <v>10</v>
      </c>
      <c r="AH88" s="2"/>
      <c r="AK88" s="37" t="str">
        <f t="shared" si="11"/>
        <v/>
      </c>
      <c r="AL88" s="58"/>
    </row>
    <row r="89" spans="1:38" ht="30" customHeight="1">
      <c r="A89" s="40">
        <v>87</v>
      </c>
      <c r="B89" s="33">
        <v>46210</v>
      </c>
      <c r="C89" s="25" t="s">
        <v>306</v>
      </c>
      <c r="D89" s="25" t="s">
        <v>307</v>
      </c>
      <c r="E89" s="2" t="s">
        <v>174</v>
      </c>
      <c r="F89" s="2" t="s">
        <v>170</v>
      </c>
      <c r="G89" s="68" t="s">
        <v>40</v>
      </c>
      <c r="H89" s="68" t="s">
        <v>130</v>
      </c>
      <c r="I89" s="25" t="s">
        <v>171</v>
      </c>
      <c r="J89" s="2"/>
      <c r="K89" s="2">
        <v>1</v>
      </c>
      <c r="L89" s="33">
        <v>46211</v>
      </c>
      <c r="M89" s="33">
        <v>46211</v>
      </c>
      <c r="N89" s="46">
        <v>1</v>
      </c>
      <c r="O89" s="2"/>
      <c r="P89" s="2">
        <f t="shared" si="8"/>
        <v>0</v>
      </c>
      <c r="Q89" s="33"/>
      <c r="R89" s="33"/>
      <c r="S89" s="34" t="str">
        <f t="shared" si="9"/>
        <v/>
      </c>
      <c r="T89" s="2" t="str">
        <f t="shared" si="10"/>
        <v>Yes</v>
      </c>
      <c r="U89" s="33"/>
      <c r="V89" s="33"/>
      <c r="W89" s="58"/>
      <c r="AF89" s="36">
        <v>10</v>
      </c>
      <c r="AH89" s="2"/>
      <c r="AK89" s="37" t="str">
        <f t="shared" si="11"/>
        <v/>
      </c>
      <c r="AL89" s="58"/>
    </row>
    <row r="90" spans="1:38" ht="30" customHeight="1">
      <c r="A90" s="40">
        <v>88</v>
      </c>
      <c r="B90" s="33">
        <v>46210</v>
      </c>
      <c r="C90" s="25" t="s">
        <v>308</v>
      </c>
      <c r="D90" s="25" t="s">
        <v>309</v>
      </c>
      <c r="E90" s="2" t="s">
        <v>174</v>
      </c>
      <c r="F90" s="2" t="s">
        <v>170</v>
      </c>
      <c r="G90" s="68" t="s">
        <v>40</v>
      </c>
      <c r="H90" s="68" t="s">
        <v>43</v>
      </c>
      <c r="I90" s="25" t="s">
        <v>171</v>
      </c>
      <c r="J90" s="2"/>
      <c r="K90" s="2">
        <v>1</v>
      </c>
      <c r="L90" s="33">
        <v>46211</v>
      </c>
      <c r="M90" s="33">
        <v>46211</v>
      </c>
      <c r="N90" s="46">
        <v>1</v>
      </c>
      <c r="O90" s="2"/>
      <c r="P90" s="2">
        <f t="shared" si="8"/>
        <v>0</v>
      </c>
      <c r="Q90" s="33"/>
      <c r="R90" s="33"/>
      <c r="S90" s="34" t="str">
        <f t="shared" si="9"/>
        <v/>
      </c>
      <c r="T90" s="2" t="str">
        <f t="shared" si="10"/>
        <v>Yes</v>
      </c>
      <c r="U90" s="33"/>
      <c r="V90" s="33"/>
      <c r="W90" s="58"/>
      <c r="AF90" s="36">
        <v>10</v>
      </c>
      <c r="AH90" s="2"/>
      <c r="AK90" s="37" t="str">
        <f t="shared" si="11"/>
        <v/>
      </c>
      <c r="AL90" s="58"/>
    </row>
    <row r="91" spans="1:38" ht="30" customHeight="1">
      <c r="A91" s="40">
        <v>89</v>
      </c>
      <c r="B91" s="33">
        <v>46210</v>
      </c>
      <c r="C91" s="25" t="s">
        <v>310</v>
      </c>
      <c r="D91" s="25" t="s">
        <v>311</v>
      </c>
      <c r="E91" s="2" t="s">
        <v>174</v>
      </c>
      <c r="F91" s="2" t="s">
        <v>170</v>
      </c>
      <c r="G91" s="68" t="s">
        <v>40</v>
      </c>
      <c r="H91" s="68" t="s">
        <v>130</v>
      </c>
      <c r="I91" s="25" t="s">
        <v>171</v>
      </c>
      <c r="J91" s="2"/>
      <c r="K91" s="2">
        <v>1</v>
      </c>
      <c r="L91" s="33">
        <v>46211</v>
      </c>
      <c r="M91" s="33">
        <v>46211</v>
      </c>
      <c r="N91" s="46">
        <v>1</v>
      </c>
      <c r="O91" s="2"/>
      <c r="P91" s="2">
        <f t="shared" si="8"/>
        <v>0</v>
      </c>
      <c r="Q91" s="33"/>
      <c r="R91" s="33"/>
      <c r="S91" s="34" t="str">
        <f t="shared" si="9"/>
        <v/>
      </c>
      <c r="T91" s="2" t="str">
        <f t="shared" si="10"/>
        <v>Yes</v>
      </c>
      <c r="U91" s="33"/>
      <c r="V91" s="33"/>
      <c r="W91" s="58"/>
      <c r="AF91" s="36">
        <v>10</v>
      </c>
      <c r="AH91" s="2"/>
      <c r="AK91" s="37" t="str">
        <f t="shared" si="11"/>
        <v/>
      </c>
      <c r="AL91" s="58"/>
    </row>
    <row r="92" spans="1:38" ht="30" customHeight="1">
      <c r="A92" s="40">
        <v>90</v>
      </c>
      <c r="B92" s="33">
        <v>46210</v>
      </c>
      <c r="C92" s="25" t="s">
        <v>312</v>
      </c>
      <c r="D92" s="25" t="s">
        <v>313</v>
      </c>
      <c r="E92" s="2" t="s">
        <v>174</v>
      </c>
      <c r="F92" s="2" t="s">
        <v>170</v>
      </c>
      <c r="G92" s="68" t="s">
        <v>40</v>
      </c>
      <c r="H92" s="68" t="s">
        <v>43</v>
      </c>
      <c r="I92" s="25" t="s">
        <v>171</v>
      </c>
      <c r="J92" s="2"/>
      <c r="K92" s="2">
        <v>1</v>
      </c>
      <c r="L92" s="33">
        <v>46211</v>
      </c>
      <c r="M92" s="33">
        <v>46211</v>
      </c>
      <c r="N92" s="46">
        <v>1</v>
      </c>
      <c r="O92" s="2"/>
      <c r="P92" s="2">
        <f t="shared" si="8"/>
        <v>0</v>
      </c>
      <c r="Q92" s="33"/>
      <c r="R92" s="33"/>
      <c r="S92" s="34" t="str">
        <f t="shared" si="9"/>
        <v/>
      </c>
      <c r="T92" s="2" t="str">
        <f t="shared" si="10"/>
        <v>Yes</v>
      </c>
      <c r="U92" s="33"/>
      <c r="V92" s="33"/>
      <c r="W92" s="58"/>
      <c r="AF92" s="36">
        <v>10</v>
      </c>
      <c r="AH92" s="2"/>
      <c r="AK92" s="37" t="str">
        <f t="shared" si="11"/>
        <v/>
      </c>
      <c r="AL92" s="58"/>
    </row>
    <row r="93" spans="1:38" ht="30" customHeight="1">
      <c r="A93" s="40">
        <v>91</v>
      </c>
      <c r="B93" s="33">
        <v>46210</v>
      </c>
      <c r="C93" s="25" t="s">
        <v>314</v>
      </c>
      <c r="D93" s="25" t="s">
        <v>315</v>
      </c>
      <c r="E93" s="2" t="s">
        <v>174</v>
      </c>
      <c r="F93" s="2" t="s">
        <v>170</v>
      </c>
      <c r="G93" s="68" t="s">
        <v>40</v>
      </c>
      <c r="H93" s="68" t="s">
        <v>43</v>
      </c>
      <c r="I93" s="25" t="s">
        <v>171</v>
      </c>
      <c r="J93" s="2"/>
      <c r="K93" s="2">
        <v>1</v>
      </c>
      <c r="L93" s="33">
        <v>46211</v>
      </c>
      <c r="M93" s="33">
        <v>46211</v>
      </c>
      <c r="N93" s="46">
        <v>1</v>
      </c>
      <c r="O93" s="2"/>
      <c r="P93" s="2">
        <f t="shared" si="8"/>
        <v>0</v>
      </c>
      <c r="Q93" s="33"/>
      <c r="R93" s="33"/>
      <c r="S93" s="34" t="str">
        <f t="shared" si="9"/>
        <v/>
      </c>
      <c r="T93" s="2" t="str">
        <f t="shared" si="10"/>
        <v>Yes</v>
      </c>
      <c r="U93" s="33"/>
      <c r="V93" s="33"/>
      <c r="W93" s="58"/>
      <c r="AF93" s="36">
        <v>10</v>
      </c>
      <c r="AH93" s="2"/>
      <c r="AK93" s="37" t="str">
        <f t="shared" si="11"/>
        <v/>
      </c>
      <c r="AL93" s="58"/>
    </row>
    <row r="94" spans="1:38" ht="30" customHeight="1">
      <c r="A94" s="40">
        <v>92</v>
      </c>
      <c r="B94" s="33">
        <v>46210</v>
      </c>
      <c r="C94" s="25" t="s">
        <v>316</v>
      </c>
      <c r="D94" s="25" t="s">
        <v>317</v>
      </c>
      <c r="E94" s="2" t="s">
        <v>174</v>
      </c>
      <c r="F94" s="2" t="s">
        <v>170</v>
      </c>
      <c r="G94" s="68" t="s">
        <v>40</v>
      </c>
      <c r="H94" s="68" t="s">
        <v>43</v>
      </c>
      <c r="I94" s="25" t="s">
        <v>171</v>
      </c>
      <c r="J94" s="2"/>
      <c r="K94" s="2">
        <v>1</v>
      </c>
      <c r="L94" s="33">
        <v>46211</v>
      </c>
      <c r="M94" s="33">
        <v>46211</v>
      </c>
      <c r="N94" s="46">
        <v>1</v>
      </c>
      <c r="O94" s="2"/>
      <c r="P94" s="2">
        <f t="shared" si="8"/>
        <v>0</v>
      </c>
      <c r="Q94" s="33"/>
      <c r="R94" s="33"/>
      <c r="S94" s="34" t="str">
        <f t="shared" si="9"/>
        <v/>
      </c>
      <c r="T94" s="2" t="str">
        <f t="shared" si="10"/>
        <v>Yes</v>
      </c>
      <c r="U94" s="33"/>
      <c r="V94" s="33"/>
      <c r="W94" s="58"/>
      <c r="AF94" s="36">
        <v>10</v>
      </c>
      <c r="AH94" s="2"/>
      <c r="AK94" s="37" t="str">
        <f t="shared" si="11"/>
        <v/>
      </c>
      <c r="AL94" s="58"/>
    </row>
    <row r="95" spans="1:38" ht="30" customHeight="1">
      <c r="A95" s="40">
        <v>93</v>
      </c>
      <c r="B95" s="33">
        <v>46210</v>
      </c>
      <c r="C95" s="25" t="s">
        <v>318</v>
      </c>
      <c r="D95" s="25" t="s">
        <v>319</v>
      </c>
      <c r="E95" s="2" t="s">
        <v>174</v>
      </c>
      <c r="F95" s="2" t="s">
        <v>170</v>
      </c>
      <c r="G95" s="68" t="s">
        <v>40</v>
      </c>
      <c r="H95" s="68" t="s">
        <v>43</v>
      </c>
      <c r="I95" s="25" t="s">
        <v>171</v>
      </c>
      <c r="J95" s="2"/>
      <c r="K95" s="2">
        <v>1</v>
      </c>
      <c r="L95" s="33">
        <v>46211</v>
      </c>
      <c r="M95" s="33">
        <v>46211</v>
      </c>
      <c r="N95" s="46">
        <v>1</v>
      </c>
      <c r="O95" s="2"/>
      <c r="P95" s="2">
        <f t="shared" si="8"/>
        <v>0</v>
      </c>
      <c r="Q95" s="33"/>
      <c r="R95" s="33"/>
      <c r="S95" s="34" t="str">
        <f t="shared" si="9"/>
        <v/>
      </c>
      <c r="T95" s="2" t="str">
        <f t="shared" si="10"/>
        <v>Yes</v>
      </c>
      <c r="U95" s="33"/>
      <c r="V95" s="33"/>
      <c r="W95" s="58"/>
      <c r="AF95" s="36">
        <v>10</v>
      </c>
      <c r="AH95" s="2"/>
      <c r="AK95" s="37" t="str">
        <f t="shared" si="11"/>
        <v/>
      </c>
      <c r="AL95" s="58"/>
    </row>
    <row r="96" spans="1:38" ht="30" customHeight="1">
      <c r="A96" s="40">
        <v>94</v>
      </c>
      <c r="B96" s="33">
        <v>46210</v>
      </c>
      <c r="C96" s="25" t="s">
        <v>127</v>
      </c>
      <c r="D96" s="25" t="s">
        <v>164</v>
      </c>
      <c r="E96" s="2" t="s">
        <v>129</v>
      </c>
      <c r="F96" s="2" t="s">
        <v>170</v>
      </c>
      <c r="G96" s="68" t="s">
        <v>37</v>
      </c>
      <c r="H96" s="68" t="s">
        <v>43</v>
      </c>
      <c r="I96" s="25" t="s">
        <v>171</v>
      </c>
      <c r="J96" s="2"/>
      <c r="K96" s="2">
        <v>1</v>
      </c>
      <c r="L96" s="33">
        <v>46211</v>
      </c>
      <c r="M96" s="33"/>
      <c r="N96" s="46">
        <v>0</v>
      </c>
      <c r="O96" s="2"/>
      <c r="P96" s="2" t="str">
        <f t="shared" si="8"/>
        <v/>
      </c>
      <c r="Q96" s="33"/>
      <c r="R96" s="33"/>
      <c r="S96" s="34" t="str">
        <f t="shared" si="9"/>
        <v/>
      </c>
      <c r="T96" s="2" t="str">
        <f t="shared" si="10"/>
        <v>No</v>
      </c>
      <c r="U96" s="33"/>
      <c r="V96" s="33"/>
      <c r="W96" s="58"/>
      <c r="AF96" s="36">
        <v>10</v>
      </c>
      <c r="AH96" s="2"/>
      <c r="AK96" s="37" t="str">
        <f t="shared" si="11"/>
        <v/>
      </c>
      <c r="AL96" s="58"/>
    </row>
    <row r="97" spans="1:38" ht="30" customHeight="1">
      <c r="A97" s="40">
        <v>95</v>
      </c>
      <c r="B97" s="33">
        <v>46210</v>
      </c>
      <c r="C97" s="25" t="s">
        <v>127</v>
      </c>
      <c r="D97" s="25" t="s">
        <v>320</v>
      </c>
      <c r="E97" s="2" t="s">
        <v>129</v>
      </c>
      <c r="F97" s="2" t="s">
        <v>170</v>
      </c>
      <c r="G97" s="68" t="s">
        <v>37</v>
      </c>
      <c r="H97" s="68" t="s">
        <v>130</v>
      </c>
      <c r="I97" s="25" t="s">
        <v>171</v>
      </c>
      <c r="J97" s="2"/>
      <c r="K97" s="2">
        <v>1</v>
      </c>
      <c r="L97" s="33">
        <v>46211</v>
      </c>
      <c r="M97" s="33"/>
      <c r="N97" s="46">
        <v>0.75</v>
      </c>
      <c r="O97" s="2"/>
      <c r="P97" s="2" t="str">
        <f t="shared" si="8"/>
        <v/>
      </c>
      <c r="Q97" s="33"/>
      <c r="R97" s="33"/>
      <c r="S97" s="34" t="str">
        <f t="shared" si="9"/>
        <v/>
      </c>
      <c r="T97" s="2" t="str">
        <f t="shared" si="10"/>
        <v>No</v>
      </c>
      <c r="U97" s="33"/>
      <c r="V97" s="33"/>
      <c r="W97" s="58"/>
      <c r="AF97" s="36">
        <v>10</v>
      </c>
      <c r="AH97" s="2"/>
      <c r="AK97" s="37" t="str">
        <f t="shared" si="11"/>
        <v/>
      </c>
      <c r="AL97" s="58"/>
    </row>
    <row r="98" spans="1:38" ht="30" customHeight="1">
      <c r="A98" s="40">
        <v>96</v>
      </c>
      <c r="B98" s="33">
        <v>46210</v>
      </c>
      <c r="C98" s="25" t="s">
        <v>127</v>
      </c>
      <c r="D98" s="25" t="s">
        <v>165</v>
      </c>
      <c r="E98" s="2" t="s">
        <v>129</v>
      </c>
      <c r="F98" s="2" t="s">
        <v>170</v>
      </c>
      <c r="G98" s="68" t="s">
        <v>37</v>
      </c>
      <c r="H98" s="68" t="s">
        <v>43</v>
      </c>
      <c r="I98" s="25" t="s">
        <v>171</v>
      </c>
      <c r="J98" s="2"/>
      <c r="K98" s="2">
        <v>1</v>
      </c>
      <c r="L98" s="33">
        <v>46211</v>
      </c>
      <c r="M98" s="33"/>
      <c r="N98" s="46">
        <v>0</v>
      </c>
      <c r="O98" s="2"/>
      <c r="P98" s="2" t="str">
        <f t="shared" si="8"/>
        <v/>
      </c>
      <c r="Q98" s="33"/>
      <c r="R98" s="33"/>
      <c r="S98" s="34" t="str">
        <f t="shared" si="9"/>
        <v/>
      </c>
      <c r="T98" s="2" t="str">
        <f t="shared" si="10"/>
        <v>No</v>
      </c>
      <c r="U98" s="33"/>
      <c r="V98" s="33"/>
      <c r="W98" s="58"/>
      <c r="AF98" s="36">
        <v>10</v>
      </c>
      <c r="AH98" s="2"/>
      <c r="AK98" s="37" t="str">
        <f t="shared" si="11"/>
        <v/>
      </c>
      <c r="AL98" s="58"/>
    </row>
    <row r="99" spans="1:38" ht="30" customHeight="1">
      <c r="A99" s="40">
        <v>97</v>
      </c>
      <c r="B99" s="33">
        <v>46210</v>
      </c>
      <c r="C99" s="25" t="s">
        <v>127</v>
      </c>
      <c r="D99" s="25" t="s">
        <v>166</v>
      </c>
      <c r="E99" s="2" t="s">
        <v>129</v>
      </c>
      <c r="F99" s="2" t="s">
        <v>170</v>
      </c>
      <c r="G99" s="68" t="s">
        <v>37</v>
      </c>
      <c r="H99" s="68" t="s">
        <v>43</v>
      </c>
      <c r="I99" s="25" t="s">
        <v>171</v>
      </c>
      <c r="J99" s="2"/>
      <c r="K99" s="2">
        <v>1</v>
      </c>
      <c r="L99" s="33">
        <v>46211</v>
      </c>
      <c r="M99" s="33"/>
      <c r="N99" s="46">
        <v>0</v>
      </c>
      <c r="O99" s="2"/>
      <c r="P99" s="2" t="str">
        <f t="shared" si="8"/>
        <v/>
      </c>
      <c r="Q99" s="33"/>
      <c r="R99" s="33"/>
      <c r="S99" s="34" t="str">
        <f t="shared" si="9"/>
        <v/>
      </c>
      <c r="T99" s="2" t="str">
        <f t="shared" si="10"/>
        <v>No</v>
      </c>
      <c r="U99" s="33"/>
      <c r="V99" s="33"/>
      <c r="W99" s="58"/>
      <c r="AF99" s="36">
        <v>10</v>
      </c>
      <c r="AH99" s="2"/>
      <c r="AK99" s="37" t="str">
        <f t="shared" si="11"/>
        <v/>
      </c>
      <c r="AL99" s="58"/>
    </row>
    <row r="100" spans="1:38" ht="30" customHeight="1">
      <c r="A100" s="40">
        <v>98</v>
      </c>
      <c r="B100" s="33">
        <v>46210</v>
      </c>
      <c r="C100" s="25" t="s">
        <v>321</v>
      </c>
      <c r="D100" s="25" t="s">
        <v>322</v>
      </c>
      <c r="E100" s="2" t="s">
        <v>174</v>
      </c>
      <c r="F100" s="2" t="s">
        <v>170</v>
      </c>
      <c r="G100" s="68" t="s">
        <v>40</v>
      </c>
      <c r="H100" s="68" t="s">
        <v>130</v>
      </c>
      <c r="I100" s="25" t="s">
        <v>171</v>
      </c>
      <c r="J100" s="2"/>
      <c r="K100" s="2">
        <v>5</v>
      </c>
      <c r="L100" s="33">
        <v>46211</v>
      </c>
      <c r="M100" s="33">
        <v>46211</v>
      </c>
      <c r="N100" s="46">
        <v>1</v>
      </c>
      <c r="O100" s="2"/>
      <c r="P100" s="2">
        <f t="shared" si="8"/>
        <v>0</v>
      </c>
      <c r="Q100" s="33"/>
      <c r="R100" s="33"/>
      <c r="S100" s="34" t="str">
        <f t="shared" si="9"/>
        <v/>
      </c>
      <c r="T100" s="2" t="str">
        <f t="shared" si="10"/>
        <v>Yes</v>
      </c>
      <c r="U100" s="33"/>
      <c r="V100" s="33"/>
      <c r="W100" s="58"/>
      <c r="AF100" s="36">
        <v>10</v>
      </c>
      <c r="AH100" s="2"/>
      <c r="AK100" s="37" t="str">
        <f t="shared" si="11"/>
        <v/>
      </c>
      <c r="AL100" s="58"/>
    </row>
    <row r="101" spans="1:38" ht="30" customHeight="1">
      <c r="A101" s="40">
        <v>99</v>
      </c>
      <c r="B101" s="33">
        <v>46210</v>
      </c>
      <c r="C101" s="25" t="s">
        <v>323</v>
      </c>
      <c r="D101" s="25" t="s">
        <v>324</v>
      </c>
      <c r="E101" s="2" t="s">
        <v>174</v>
      </c>
      <c r="F101" s="2" t="s">
        <v>170</v>
      </c>
      <c r="G101" s="68" t="s">
        <v>40</v>
      </c>
      <c r="H101" s="68" t="s">
        <v>130</v>
      </c>
      <c r="I101" s="25" t="s">
        <v>171</v>
      </c>
      <c r="J101" s="2"/>
      <c r="K101" s="2">
        <v>0.25</v>
      </c>
      <c r="L101" s="33">
        <v>46211</v>
      </c>
      <c r="M101" s="33">
        <v>46211</v>
      </c>
      <c r="N101" s="46">
        <v>1</v>
      </c>
      <c r="O101" s="2"/>
      <c r="P101" s="2">
        <f t="shared" si="8"/>
        <v>0</v>
      </c>
      <c r="Q101" s="33"/>
      <c r="R101" s="33"/>
      <c r="S101" s="34" t="str">
        <f t="shared" si="9"/>
        <v/>
      </c>
      <c r="T101" s="2" t="str">
        <f t="shared" si="10"/>
        <v>Yes</v>
      </c>
      <c r="U101" s="33"/>
      <c r="V101" s="33"/>
      <c r="W101" s="58"/>
      <c r="AF101" s="36">
        <v>10</v>
      </c>
      <c r="AH101" s="2"/>
      <c r="AK101" s="37" t="str">
        <f t="shared" si="11"/>
        <v/>
      </c>
      <c r="AL101" s="58"/>
    </row>
    <row r="102" spans="1:38" ht="30" customHeight="1">
      <c r="A102" s="40">
        <v>100</v>
      </c>
      <c r="B102" s="33">
        <v>46210</v>
      </c>
      <c r="C102" s="25" t="s">
        <v>325</v>
      </c>
      <c r="D102" s="25" t="s">
        <v>326</v>
      </c>
      <c r="E102" s="2" t="s">
        <v>174</v>
      </c>
      <c r="F102" s="2" t="s">
        <v>170</v>
      </c>
      <c r="G102" s="68" t="s">
        <v>40</v>
      </c>
      <c r="H102" s="68" t="s">
        <v>130</v>
      </c>
      <c r="I102" s="25" t="s">
        <v>171</v>
      </c>
      <c r="J102" s="2"/>
      <c r="K102" s="2">
        <v>0.125</v>
      </c>
      <c r="L102" s="33">
        <v>46211</v>
      </c>
      <c r="M102" s="33">
        <v>46211</v>
      </c>
      <c r="N102" s="46">
        <v>1</v>
      </c>
      <c r="O102" s="2"/>
      <c r="P102" s="2">
        <f t="shared" si="8"/>
        <v>0</v>
      </c>
      <c r="Q102" s="33"/>
      <c r="R102" s="33"/>
      <c r="S102" s="34" t="str">
        <f t="shared" si="9"/>
        <v/>
      </c>
      <c r="T102" s="2" t="str">
        <f t="shared" si="10"/>
        <v>Yes</v>
      </c>
      <c r="U102" s="33"/>
      <c r="V102" s="33"/>
      <c r="W102" s="58"/>
      <c r="AF102" s="36">
        <v>10</v>
      </c>
      <c r="AH102" s="2"/>
      <c r="AK102" s="37" t="str">
        <f t="shared" si="11"/>
        <v/>
      </c>
      <c r="AL102" s="58"/>
    </row>
    <row r="103" spans="1:38" ht="30" customHeight="1">
      <c r="A103" s="40">
        <v>101</v>
      </c>
      <c r="B103" s="33">
        <v>46210</v>
      </c>
      <c r="C103" s="25" t="s">
        <v>327</v>
      </c>
      <c r="D103" s="25" t="s">
        <v>328</v>
      </c>
      <c r="E103" s="2" t="s">
        <v>174</v>
      </c>
      <c r="F103" s="2" t="s">
        <v>170</v>
      </c>
      <c r="G103" s="68" t="s">
        <v>40</v>
      </c>
      <c r="H103" s="68" t="s">
        <v>130</v>
      </c>
      <c r="I103" s="25" t="s">
        <v>171</v>
      </c>
      <c r="J103" s="2"/>
      <c r="K103" s="2">
        <v>1</v>
      </c>
      <c r="L103" s="33">
        <v>46211</v>
      </c>
      <c r="M103" s="33">
        <v>46211</v>
      </c>
      <c r="N103" s="46">
        <v>1</v>
      </c>
      <c r="O103" s="2"/>
      <c r="P103" s="2">
        <f t="shared" si="8"/>
        <v>0</v>
      </c>
      <c r="Q103" s="33"/>
      <c r="R103" s="33"/>
      <c r="S103" s="34" t="str">
        <f t="shared" si="9"/>
        <v/>
      </c>
      <c r="T103" s="2" t="str">
        <f t="shared" si="10"/>
        <v>Yes</v>
      </c>
      <c r="U103" s="33"/>
      <c r="V103" s="33"/>
      <c r="W103" s="58"/>
      <c r="AF103" s="36">
        <v>10</v>
      </c>
      <c r="AH103" s="2"/>
      <c r="AK103" s="37" t="str">
        <f t="shared" si="11"/>
        <v/>
      </c>
      <c r="AL103" s="58"/>
    </row>
    <row r="104" spans="1:38" ht="30" customHeight="1">
      <c r="A104" s="40">
        <v>102</v>
      </c>
      <c r="B104" s="33">
        <v>46210</v>
      </c>
      <c r="C104" s="25" t="s">
        <v>329</v>
      </c>
      <c r="D104" s="25" t="s">
        <v>330</v>
      </c>
      <c r="E104" s="2" t="s">
        <v>174</v>
      </c>
      <c r="F104" s="2" t="s">
        <v>170</v>
      </c>
      <c r="G104" s="68" t="s">
        <v>40</v>
      </c>
      <c r="H104" s="68" t="s">
        <v>43</v>
      </c>
      <c r="I104" s="25" t="s">
        <v>171</v>
      </c>
      <c r="J104" s="2"/>
      <c r="K104" s="2">
        <v>1</v>
      </c>
      <c r="L104" s="33">
        <v>46211</v>
      </c>
      <c r="M104" s="33">
        <v>46211</v>
      </c>
      <c r="N104" s="46">
        <v>1</v>
      </c>
      <c r="O104" s="2"/>
      <c r="P104" s="2">
        <f t="shared" si="8"/>
        <v>0</v>
      </c>
      <c r="Q104" s="33"/>
      <c r="R104" s="33"/>
      <c r="S104" s="34" t="str">
        <f t="shared" si="9"/>
        <v/>
      </c>
      <c r="T104" s="2" t="str">
        <f t="shared" si="10"/>
        <v>Yes</v>
      </c>
      <c r="U104" s="33"/>
      <c r="V104" s="33"/>
      <c r="W104" s="58"/>
      <c r="AF104" s="36">
        <v>10</v>
      </c>
      <c r="AH104" s="2"/>
      <c r="AK104" s="37" t="str">
        <f t="shared" si="11"/>
        <v/>
      </c>
      <c r="AL104" s="58"/>
    </row>
    <row r="105" spans="1:38" ht="30" customHeight="1">
      <c r="A105" s="40">
        <v>103</v>
      </c>
      <c r="B105" s="33">
        <v>46210</v>
      </c>
      <c r="C105" s="25" t="s">
        <v>331</v>
      </c>
      <c r="D105" s="25" t="s">
        <v>332</v>
      </c>
      <c r="E105" s="2" t="s">
        <v>174</v>
      </c>
      <c r="F105" s="2" t="s">
        <v>170</v>
      </c>
      <c r="G105" s="68" t="s">
        <v>40</v>
      </c>
      <c r="H105" s="68" t="s">
        <v>130</v>
      </c>
      <c r="I105" s="25" t="s">
        <v>171</v>
      </c>
      <c r="J105" s="2"/>
      <c r="K105" s="2">
        <v>1</v>
      </c>
      <c r="L105" s="33">
        <v>46211</v>
      </c>
      <c r="M105" s="33">
        <v>46211</v>
      </c>
      <c r="N105" s="46">
        <v>1</v>
      </c>
      <c r="O105" s="2"/>
      <c r="P105" s="2">
        <f t="shared" si="8"/>
        <v>0</v>
      </c>
      <c r="Q105" s="33"/>
      <c r="R105" s="33"/>
      <c r="S105" s="34" t="str">
        <f t="shared" si="9"/>
        <v/>
      </c>
      <c r="T105" s="2" t="str">
        <f t="shared" si="10"/>
        <v>Yes</v>
      </c>
      <c r="U105" s="33"/>
      <c r="V105" s="33"/>
      <c r="W105" s="58"/>
      <c r="AF105" s="36">
        <v>10</v>
      </c>
      <c r="AH105" s="2"/>
      <c r="AK105" s="37" t="str">
        <f t="shared" si="11"/>
        <v/>
      </c>
      <c r="AL105" s="58"/>
    </row>
    <row r="106" spans="1:38" ht="30" customHeight="1">
      <c r="A106" s="40">
        <v>104</v>
      </c>
      <c r="B106" s="33">
        <v>46210</v>
      </c>
      <c r="C106" s="25" t="s">
        <v>333</v>
      </c>
      <c r="D106" s="25" t="s">
        <v>334</v>
      </c>
      <c r="E106" s="2" t="s">
        <v>174</v>
      </c>
      <c r="F106" s="2" t="s">
        <v>170</v>
      </c>
      <c r="G106" s="68" t="s">
        <v>40</v>
      </c>
      <c r="H106" s="68" t="s">
        <v>130</v>
      </c>
      <c r="I106" s="25" t="s">
        <v>171</v>
      </c>
      <c r="K106" s="36">
        <v>1</v>
      </c>
      <c r="L106" s="33">
        <v>46211</v>
      </c>
      <c r="M106" s="33">
        <v>46211</v>
      </c>
      <c r="N106" s="46">
        <v>1</v>
      </c>
      <c r="P106" s="2">
        <f t="shared" si="8"/>
        <v>0</v>
      </c>
      <c r="Q106" s="33"/>
      <c r="S106" s="34" t="str">
        <f t="shared" si="9"/>
        <v/>
      </c>
      <c r="T106" s="2" t="str">
        <f t="shared" si="10"/>
        <v>Yes</v>
      </c>
      <c r="W106" s="59"/>
      <c r="AF106" s="36">
        <v>10</v>
      </c>
      <c r="AH106" s="2"/>
      <c r="AK106" s="37" t="str">
        <f t="shared" si="11"/>
        <v/>
      </c>
      <c r="AL106" s="58"/>
    </row>
    <row r="107" spans="1:38" ht="30" customHeight="1">
      <c r="A107" s="40">
        <v>105</v>
      </c>
      <c r="B107" s="33">
        <v>46210</v>
      </c>
      <c r="C107" s="25" t="s">
        <v>335</v>
      </c>
      <c r="D107" s="25" t="s">
        <v>336</v>
      </c>
      <c r="E107" s="2" t="s">
        <v>174</v>
      </c>
      <c r="F107" s="2" t="s">
        <v>170</v>
      </c>
      <c r="G107" s="68" t="s">
        <v>40</v>
      </c>
      <c r="H107" s="68" t="s">
        <v>130</v>
      </c>
      <c r="I107" s="25" t="s">
        <v>171</v>
      </c>
      <c r="K107" s="36">
        <v>4</v>
      </c>
      <c r="L107" s="33">
        <v>46211</v>
      </c>
      <c r="M107" s="33">
        <v>46211</v>
      </c>
      <c r="N107" s="46">
        <v>1</v>
      </c>
      <c r="P107" s="2">
        <f t="shared" si="8"/>
        <v>0</v>
      </c>
      <c r="Q107" s="33"/>
      <c r="S107" s="34" t="str">
        <f t="shared" si="9"/>
        <v/>
      </c>
      <c r="T107" s="2" t="str">
        <f t="shared" si="10"/>
        <v>Yes</v>
      </c>
      <c r="AF107" s="36">
        <v>10</v>
      </c>
      <c r="AH107" s="2"/>
      <c r="AK107" s="37" t="str">
        <f t="shared" si="11"/>
        <v/>
      </c>
      <c r="AL107" s="58"/>
    </row>
    <row r="108" spans="1:38" ht="30" customHeight="1">
      <c r="A108" s="40">
        <v>106</v>
      </c>
      <c r="B108" s="33">
        <v>46210</v>
      </c>
      <c r="C108" s="25" t="s">
        <v>337</v>
      </c>
      <c r="D108" s="25" t="s">
        <v>338</v>
      </c>
      <c r="E108" s="2" t="s">
        <v>174</v>
      </c>
      <c r="F108" s="2" t="s">
        <v>170</v>
      </c>
      <c r="G108" s="68" t="s">
        <v>40</v>
      </c>
      <c r="H108" s="68" t="s">
        <v>130</v>
      </c>
      <c r="I108" s="25" t="s">
        <v>171</v>
      </c>
      <c r="K108" s="36">
        <v>6</v>
      </c>
      <c r="L108" s="33">
        <v>46211</v>
      </c>
      <c r="M108" s="33">
        <v>46211</v>
      </c>
      <c r="N108" s="46">
        <v>1</v>
      </c>
      <c r="P108" s="2">
        <f t="shared" si="8"/>
        <v>0</v>
      </c>
      <c r="Q108" s="33"/>
      <c r="S108" s="34" t="str">
        <f t="shared" si="9"/>
        <v/>
      </c>
      <c r="T108" s="2" t="str">
        <f t="shared" si="10"/>
        <v>Yes</v>
      </c>
      <c r="AF108" s="36">
        <v>10</v>
      </c>
      <c r="AH108" s="2"/>
      <c r="AK108" s="37" t="str">
        <f t="shared" si="11"/>
        <v/>
      </c>
      <c r="AL108" s="58"/>
    </row>
    <row r="109" spans="1:38" ht="30" customHeight="1">
      <c r="B109" s="33"/>
    </row>
    <row r="110" spans="1:38" ht="30" hidden="1" customHeight="1"/>
    <row r="111" spans="1:38" ht="30" hidden="1" customHeight="1"/>
    <row r="112" spans="1:38" ht="30" hidden="1" customHeight="1"/>
    <row r="113" ht="30" hidden="1" customHeight="1"/>
    <row r="114" ht="30" hidden="1" customHeight="1"/>
    <row r="115" ht="30" hidden="1" customHeight="1"/>
    <row r="116" ht="30" hidden="1" customHeight="1"/>
    <row r="117" ht="30" hidden="1" customHeight="1"/>
    <row r="118" ht="30" hidden="1" customHeight="1"/>
    <row r="119" ht="30" hidden="1" customHeight="1"/>
    <row r="120" ht="30" hidden="1" customHeight="1"/>
    <row r="121" ht="30" hidden="1" customHeight="1"/>
    <row r="122" ht="30" hidden="1" customHeight="1"/>
    <row r="123" ht="30" hidden="1" customHeight="1"/>
    <row r="124" ht="30" hidden="1" customHeight="1"/>
    <row r="125" ht="30" hidden="1" customHeight="1"/>
    <row r="126" ht="30" hidden="1" customHeight="1"/>
    <row r="127" ht="30" hidden="1" customHeight="1"/>
    <row r="128" ht="30" hidden="1" customHeight="1"/>
    <row r="129" ht="30" hidden="1" customHeight="1"/>
    <row r="130" ht="30" hidden="1" customHeight="1"/>
    <row r="131" ht="30" hidden="1" customHeight="1"/>
    <row r="132" ht="30" hidden="1" customHeight="1"/>
    <row r="133" ht="30" hidden="1" customHeight="1"/>
    <row r="134" ht="30" hidden="1" customHeight="1"/>
    <row r="135" ht="30" hidden="1" customHeight="1"/>
    <row r="136" ht="30" hidden="1" customHeight="1"/>
    <row r="137" ht="30" hidden="1" customHeight="1"/>
    <row r="138" ht="30" hidden="1" customHeight="1"/>
    <row r="139" ht="30" hidden="1" customHeight="1"/>
    <row r="140" ht="30" hidden="1" customHeight="1"/>
    <row r="141" ht="30" hidden="1" customHeight="1"/>
    <row r="142" ht="30" hidden="1" customHeight="1"/>
    <row r="143" ht="30" hidden="1" customHeight="1"/>
    <row r="144" ht="30" hidden="1" customHeight="1"/>
    <row r="145" ht="30" hidden="1" customHeight="1"/>
    <row r="146" ht="30" hidden="1" customHeight="1"/>
    <row r="147" ht="30" hidden="1" customHeight="1"/>
    <row r="148" ht="30" hidden="1" customHeight="1"/>
    <row r="149" ht="30" hidden="1" customHeight="1"/>
    <row r="150" ht="30" hidden="1" customHeight="1"/>
    <row r="151" ht="30" hidden="1" customHeight="1"/>
    <row r="152" ht="30" hidden="1" customHeight="1"/>
    <row r="153" ht="30" hidden="1" customHeight="1"/>
    <row r="154" ht="30" hidden="1" customHeight="1"/>
    <row r="155" ht="30" hidden="1" customHeight="1"/>
    <row r="156" ht="30" hidden="1" customHeight="1"/>
    <row r="157" ht="30" hidden="1" customHeight="1"/>
    <row r="158" ht="30" hidden="1" customHeight="1"/>
    <row r="159" ht="30" hidden="1" customHeight="1"/>
    <row r="160" ht="30" hidden="1" customHeight="1"/>
    <row r="161" spans="4:4" ht="30" hidden="1" customHeight="1"/>
    <row r="162" spans="4:4" ht="30" hidden="1" customHeight="1"/>
    <row r="163" spans="4:4" ht="30" hidden="1" customHeight="1"/>
    <row r="164" spans="4:4" ht="30" hidden="1" customHeight="1"/>
    <row r="165" spans="4:4" ht="30" hidden="1" customHeight="1"/>
    <row r="166" spans="4:4" ht="30" hidden="1" customHeight="1"/>
    <row r="167" spans="4:4" ht="30" hidden="1" customHeight="1"/>
    <row r="168" spans="4:4" ht="30" hidden="1" customHeight="1"/>
    <row r="169" spans="4:4" ht="30" hidden="1" customHeight="1"/>
    <row r="170" spans="4:4" ht="30" hidden="1" customHeight="1"/>
    <row r="171" spans="4:4" ht="30" hidden="1" customHeight="1"/>
    <row r="172" spans="4:4" ht="30" hidden="1" customHeight="1"/>
    <row r="173" spans="4:4" ht="30" hidden="1" customHeight="1"/>
    <row r="174" spans="4:4" ht="30" hidden="1" customHeight="1"/>
    <row r="175" spans="4:4" ht="30" hidden="1" customHeight="1"/>
    <row r="176" spans="4:4" ht="15" hidden="1" customHeight="1">
      <c r="D176" s="2" t="s">
        <v>163</v>
      </c>
    </row>
    <row r="177" spans="4:4" ht="0" hidden="1" customHeight="1">
      <c r="D177" s="2" t="s">
        <v>164</v>
      </c>
    </row>
    <row r="178" spans="4:4" ht="0" hidden="1" customHeight="1">
      <c r="D178" s="2" t="s">
        <v>165</v>
      </c>
    </row>
    <row r="179" spans="4:4" ht="0" hidden="1" customHeight="1">
      <c r="D179" s="2" t="s">
        <v>166</v>
      </c>
    </row>
  </sheetData>
  <protectedRanges>
    <protectedRange sqref="A1:BD2" name="Range1"/>
  </protectedRanges>
  <autoFilter ref="A2:BE108" xr:uid="{00000000-0001-0000-0000-000000000000}">
    <filterColumn colId="14">
      <filters blank="1"/>
    </filterColumn>
  </autoFilter>
  <mergeCells count="6">
    <mergeCell ref="A1:P1"/>
    <mergeCell ref="X1:AL1"/>
    <mergeCell ref="AW1:BD1"/>
    <mergeCell ref="AM1:AQ1"/>
    <mergeCell ref="AR1:AV1"/>
    <mergeCell ref="Q1:W1"/>
  </mergeCells>
  <conditionalFormatting sqref="C1:C1048576">
    <cfRule type="duplicateValues" dxfId="11" priority="2"/>
    <cfRule type="containsText" dxfId="10" priority="3" operator="containsText" text="TBA">
      <formula>NOT(ISERROR(SEARCH("TBA",C1)))</formula>
    </cfRule>
  </conditionalFormatting>
  <conditionalFormatting sqref="E1:F1048576">
    <cfRule type="containsText" dxfId="9" priority="1" operator="containsText" text="New">
      <formula>NOT(ISERROR(SEARCH("New",E1)))</formula>
    </cfRule>
  </conditionalFormatting>
  <conditionalFormatting sqref="G1:G1048576">
    <cfRule type="containsText" dxfId="8" priority="13" operator="containsText" text="Critical">
      <formula>NOT(ISERROR(SEARCH("Critical",G1)))</formula>
    </cfRule>
  </conditionalFormatting>
  <conditionalFormatting sqref="H1:H1048576">
    <cfRule type="containsText" dxfId="7" priority="14" operator="containsText" text="HW">
      <formula>NOT(ISERROR(SEARCH("HW",H1)))</formula>
    </cfRule>
    <cfRule type="containsText" dxfId="6" priority="15" operator="containsText" text="Mech">
      <formula>NOT(ISERROR(SEARCH("Mech",H1)))</formula>
    </cfRule>
  </conditionalFormatting>
  <conditionalFormatting sqref="P1 P3:P1048576 S3:S1048576 AK3:AK1048576">
    <cfRule type="cellIs" dxfId="5" priority="21" operator="greaterThan">
      <formula>0</formula>
    </cfRule>
    <cfRule type="cellIs" dxfId="4" priority="22" operator="lessThan">
      <formula>0</formula>
    </cfRule>
  </conditionalFormatting>
  <conditionalFormatting sqref="Q1 T2:V1048576">
    <cfRule type="containsText" dxfId="3" priority="25" operator="containsText" text="No">
      <formula>NOT(ISERROR(SEARCH("No",Q1)))</formula>
    </cfRule>
  </conditionalFormatting>
  <conditionalFormatting sqref="AH2:AH1048576">
    <cfRule type="containsText" dxfId="2" priority="16" operator="containsText" text="Low">
      <formula>NOT(ISERROR(SEARCH("Low",AH2)))</formula>
    </cfRule>
    <cfRule type="containsText" dxfId="1" priority="17" operator="containsText" text="Medium">
      <formula>NOT(ISERROR(SEARCH("Medium",AH2)))</formula>
    </cfRule>
    <cfRule type="containsText" dxfId="0" priority="18" operator="containsText" text="High">
      <formula>NOT(ISERROR(SEARCH("High",AH2)))</formula>
    </cfRule>
  </conditionalFormatting>
  <dataValidations count="5">
    <dataValidation type="list" allowBlank="1" showInputMessage="1" showErrorMessage="1" sqref="AH3:AH66 AH68:AH108" xr:uid="{2860BD50-1D3D-4543-916D-CBCBA11A9533}">
      <formula1>"Low,Medium,High"</formula1>
    </dataValidation>
    <dataValidation type="list" allowBlank="1" showInputMessage="1" showErrorMessage="1" sqref="E3:E108" xr:uid="{01565254-4645-463C-BFBE-FE90D6D41C51}">
      <formula1>"New, Carryover"</formula1>
    </dataValidation>
    <dataValidation type="list" allowBlank="1" showInputMessage="1" showErrorMessage="1" sqref="F3:F108" xr:uid="{AAE6EAB4-8338-4889-86DB-9CF4A4545E11}">
      <formula1>"Eruvaka"</formula1>
    </dataValidation>
    <dataValidation type="list" allowBlank="1" showInputMessage="1" showErrorMessage="1" sqref="G3:G108" xr:uid="{F7296B06-A4E6-4622-A16F-2A77423F9C32}">
      <formula1>"New - Critical, Carryover - Critical, New - Regular, Carryover - Regular"</formula1>
    </dataValidation>
    <dataValidation type="list" allowBlank="1" showInputMessage="1" showErrorMessage="1" sqref="H3:H108" xr:uid="{B10E67EC-BF30-401D-A760-C66D88C5B27F}">
      <formula1>"Mech, HW"</formula1>
    </dataValidation>
  </dataValidations>
  <pageMargins left="0.7" right="0.7" top="0.75" bottom="0.75" header="0.3" footer="0.3"/>
  <ignoredErrors>
    <ignoredError sqref="AK50:AK66 AI23:AI72" emptyCellReferenc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C4B6-37BA-4A83-A06A-ACBCD4185354}">
  <dimension ref="A1:H14"/>
  <sheetViews>
    <sheetView workbookViewId="0">
      <pane xSplit="1" ySplit="1" topLeftCell="B2" activePane="bottomRight" state="frozen"/>
      <selection pane="bottomRight" activeCell="E17" sqref="E17"/>
      <selection pane="bottomLeft"/>
      <selection pane="topRight"/>
    </sheetView>
  </sheetViews>
  <sheetFormatPr defaultColWidth="9.140625" defaultRowHeight="12.95"/>
  <cols>
    <col min="1" max="1" width="17.85546875" style="6" customWidth="1"/>
    <col min="2" max="2" width="13.85546875" style="6" bestFit="1" customWidth="1"/>
    <col min="3" max="3" width="12" style="6" customWidth="1"/>
    <col min="4" max="4" width="17.5703125" style="6" customWidth="1"/>
    <col min="5" max="5" width="10.85546875" style="6" customWidth="1"/>
    <col min="6" max="6" width="12.7109375" style="6" customWidth="1"/>
    <col min="7" max="7" width="13.5703125" style="6" customWidth="1"/>
    <col min="8" max="8" width="16.140625" style="6" customWidth="1"/>
    <col min="9" max="16384" width="9.140625" style="6"/>
  </cols>
  <sheetData>
    <row r="1" spans="1:8" ht="26.1">
      <c r="A1" s="3" t="s">
        <v>56</v>
      </c>
      <c r="B1" s="4" t="s">
        <v>339</v>
      </c>
      <c r="C1" s="4" t="s">
        <v>27</v>
      </c>
      <c r="D1" s="4" t="s">
        <v>75</v>
      </c>
      <c r="E1" s="4" t="s">
        <v>29</v>
      </c>
      <c r="F1" s="4" t="s">
        <v>30</v>
      </c>
      <c r="G1" s="4" t="s">
        <v>31</v>
      </c>
      <c r="H1" s="5" t="s">
        <v>340</v>
      </c>
    </row>
    <row r="2" spans="1:8">
      <c r="A2" s="7" t="s">
        <v>58</v>
      </c>
      <c r="B2" s="9" t="s">
        <v>59</v>
      </c>
      <c r="C2" s="9" t="s">
        <v>136</v>
      </c>
      <c r="D2" s="9" t="s">
        <v>136</v>
      </c>
      <c r="E2" s="9" t="s">
        <v>341</v>
      </c>
      <c r="F2" s="9" t="s">
        <v>341</v>
      </c>
      <c r="G2" s="9" t="s">
        <v>341</v>
      </c>
      <c r="H2" s="10" t="s">
        <v>136</v>
      </c>
    </row>
    <row r="3" spans="1:8">
      <c r="A3" s="7" t="s">
        <v>60</v>
      </c>
      <c r="B3" s="9" t="s">
        <v>61</v>
      </c>
      <c r="C3" s="9" t="s">
        <v>342</v>
      </c>
      <c r="D3" s="9" t="s">
        <v>341</v>
      </c>
      <c r="E3" s="9" t="s">
        <v>341</v>
      </c>
      <c r="F3" s="9" t="s">
        <v>341</v>
      </c>
      <c r="G3" s="9" t="s">
        <v>341</v>
      </c>
      <c r="H3" s="10" t="s">
        <v>342</v>
      </c>
    </row>
    <row r="4" spans="1:8">
      <c r="A4" s="7" t="s">
        <v>43</v>
      </c>
      <c r="B4" s="9" t="s">
        <v>62</v>
      </c>
      <c r="C4" s="9" t="s">
        <v>342</v>
      </c>
      <c r="D4" s="9" t="s">
        <v>342</v>
      </c>
      <c r="E4" s="9" t="s">
        <v>341</v>
      </c>
      <c r="F4" s="9" t="s">
        <v>341</v>
      </c>
      <c r="G4" s="9" t="s">
        <v>341</v>
      </c>
      <c r="H4" s="10" t="s">
        <v>342</v>
      </c>
    </row>
    <row r="5" spans="1:8">
      <c r="A5" s="7" t="s">
        <v>63</v>
      </c>
      <c r="B5" s="9" t="s">
        <v>64</v>
      </c>
      <c r="C5" s="9" t="s">
        <v>342</v>
      </c>
      <c r="D5" s="9" t="s">
        <v>341</v>
      </c>
      <c r="E5" s="9" t="s">
        <v>343</v>
      </c>
      <c r="F5" s="9" t="s">
        <v>343</v>
      </c>
      <c r="G5" s="9" t="s">
        <v>343</v>
      </c>
      <c r="H5" s="10" t="s">
        <v>342</v>
      </c>
    </row>
    <row r="6" spans="1:8">
      <c r="A6" s="7" t="s">
        <v>65</v>
      </c>
      <c r="B6" s="9" t="s">
        <v>66</v>
      </c>
      <c r="C6" s="9" t="s">
        <v>341</v>
      </c>
      <c r="D6" s="9" t="s">
        <v>341</v>
      </c>
      <c r="E6" s="9" t="s">
        <v>344</v>
      </c>
      <c r="F6" s="9" t="s">
        <v>345</v>
      </c>
      <c r="G6" s="9" t="s">
        <v>342</v>
      </c>
      <c r="H6" s="10" t="s">
        <v>341</v>
      </c>
    </row>
    <row r="7" spans="1:8">
      <c r="A7" s="7" t="s">
        <v>67</v>
      </c>
      <c r="B7" s="9" t="s">
        <v>68</v>
      </c>
      <c r="C7" s="9" t="s">
        <v>341</v>
      </c>
      <c r="D7" s="9" t="s">
        <v>344</v>
      </c>
      <c r="E7" s="9" t="s">
        <v>343</v>
      </c>
      <c r="F7" s="9" t="s">
        <v>342</v>
      </c>
      <c r="G7" s="9" t="s">
        <v>341</v>
      </c>
      <c r="H7" s="10" t="s">
        <v>344</v>
      </c>
    </row>
    <row r="8" spans="1:8">
      <c r="A8" s="7" t="s">
        <v>69</v>
      </c>
      <c r="B8" s="9" t="s">
        <v>70</v>
      </c>
      <c r="C8" s="9" t="s">
        <v>341</v>
      </c>
      <c r="D8" s="9" t="s">
        <v>341</v>
      </c>
      <c r="E8" s="9" t="s">
        <v>343</v>
      </c>
      <c r="F8" s="9" t="s">
        <v>341</v>
      </c>
      <c r="G8" s="9" t="s">
        <v>341</v>
      </c>
      <c r="H8" s="10" t="s">
        <v>342</v>
      </c>
    </row>
    <row r="9" spans="1:8">
      <c r="A9" s="7" t="s">
        <v>71</v>
      </c>
      <c r="B9" s="9" t="s">
        <v>72</v>
      </c>
      <c r="C9" s="9" t="s">
        <v>341</v>
      </c>
      <c r="D9" s="9" t="s">
        <v>343</v>
      </c>
      <c r="E9" s="9" t="s">
        <v>343</v>
      </c>
      <c r="F9" s="9" t="s">
        <v>343</v>
      </c>
      <c r="G9" s="9" t="s">
        <v>343</v>
      </c>
      <c r="H9" s="10" t="s">
        <v>341</v>
      </c>
    </row>
    <row r="10" spans="1:8">
      <c r="A10" s="8" t="s">
        <v>73</v>
      </c>
      <c r="B10" s="11" t="s">
        <v>74</v>
      </c>
      <c r="C10" s="11" t="s">
        <v>341</v>
      </c>
      <c r="D10" s="11" t="s">
        <v>342</v>
      </c>
      <c r="E10" s="11" t="s">
        <v>343</v>
      </c>
      <c r="F10" s="11" t="s">
        <v>341</v>
      </c>
      <c r="G10" s="11" t="s">
        <v>341</v>
      </c>
      <c r="H10" s="12" t="s">
        <v>342</v>
      </c>
    </row>
    <row r="11" spans="1:8">
      <c r="A11" s="179"/>
      <c r="B11" s="179"/>
      <c r="C11" s="179"/>
      <c r="D11" s="179"/>
      <c r="E11" s="179"/>
      <c r="F11" s="179"/>
      <c r="G11" s="179"/>
      <c r="H11" s="179"/>
    </row>
    <row r="12" spans="1:8" ht="14.45">
      <c r="A12" s="176" t="s">
        <v>346</v>
      </c>
      <c r="B12" s="177"/>
      <c r="C12" s="177"/>
      <c r="D12" s="177"/>
      <c r="E12" s="177"/>
      <c r="F12" s="177"/>
      <c r="G12" s="177"/>
      <c r="H12" s="178"/>
    </row>
    <row r="14" spans="1:8">
      <c r="A14" s="14" t="s">
        <v>347</v>
      </c>
      <c r="B14" s="14" t="s">
        <v>348</v>
      </c>
    </row>
  </sheetData>
  <mergeCells count="2">
    <mergeCell ref="A12:H12"/>
    <mergeCell ref="A11:H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F5A8-702B-4F09-8932-57A6A0E2716C}">
  <dimension ref="A1:N16"/>
  <sheetViews>
    <sheetView workbookViewId="0">
      <pane xSplit="2" ySplit="1" topLeftCell="C2" activePane="bottomRight" state="frozen"/>
      <selection pane="bottomRight" activeCell="E7" sqref="E7"/>
      <selection pane="bottomLeft"/>
      <selection pane="topRight"/>
    </sheetView>
  </sheetViews>
  <sheetFormatPr defaultColWidth="49" defaultRowHeight="14.45"/>
  <cols>
    <col min="1" max="1" width="3.42578125" style="23" bestFit="1" customWidth="1"/>
    <col min="2" max="2" width="23.5703125" style="15" bestFit="1" customWidth="1"/>
    <col min="3" max="3" width="45.85546875" style="15" bestFit="1" customWidth="1"/>
    <col min="4" max="4" width="14.5703125" style="23" customWidth="1"/>
    <col min="5" max="5" width="13.140625" style="23" customWidth="1"/>
    <col min="6" max="6" width="9" style="15" bestFit="1" customWidth="1"/>
    <col min="7" max="7" width="9.85546875" style="15" bestFit="1" customWidth="1"/>
    <col min="8" max="9" width="11" style="15" bestFit="1" customWidth="1"/>
    <col min="10" max="10" width="10.28515625" style="23" customWidth="1"/>
    <col min="11" max="11" width="9.85546875" style="23" customWidth="1"/>
    <col min="12" max="12" width="9" style="15" bestFit="1" customWidth="1"/>
    <col min="13" max="13" width="13" style="15" customWidth="1"/>
    <col min="14" max="14" width="15" style="15" customWidth="1"/>
    <col min="15" max="16384" width="49" style="15"/>
  </cols>
  <sheetData>
    <row r="1" spans="1:14" s="29" customFormat="1" ht="29.1">
      <c r="A1" s="26" t="s">
        <v>349</v>
      </c>
      <c r="B1" s="26" t="s">
        <v>23</v>
      </c>
      <c r="C1" s="26" t="s">
        <v>350</v>
      </c>
      <c r="D1" s="26" t="s">
        <v>351</v>
      </c>
      <c r="E1" s="26" t="s">
        <v>352</v>
      </c>
      <c r="F1" s="26" t="s">
        <v>353</v>
      </c>
      <c r="G1" s="26" t="s">
        <v>354</v>
      </c>
      <c r="H1" s="26" t="s">
        <v>355</v>
      </c>
      <c r="I1" s="26" t="s">
        <v>356</v>
      </c>
      <c r="J1" s="26" t="s">
        <v>357</v>
      </c>
      <c r="K1" s="26" t="s">
        <v>358</v>
      </c>
      <c r="L1" s="26" t="s">
        <v>359</v>
      </c>
      <c r="M1" s="26" t="s">
        <v>360</v>
      </c>
      <c r="N1" s="26" t="s">
        <v>361</v>
      </c>
    </row>
    <row r="2" spans="1:14" ht="29.1">
      <c r="A2" s="25">
        <v>1</v>
      </c>
      <c r="B2" s="24" t="s">
        <v>27</v>
      </c>
      <c r="C2" s="16" t="s">
        <v>362</v>
      </c>
      <c r="D2" s="25" t="s">
        <v>363</v>
      </c>
      <c r="E2" s="25" t="s">
        <v>364</v>
      </c>
      <c r="F2" s="17"/>
      <c r="G2" s="17">
        <v>46247</v>
      </c>
      <c r="H2" s="17"/>
      <c r="I2" s="17"/>
      <c r="J2" s="25" t="str">
        <f>IF(OR(F2="",G2=""),"",G2-F2+1)</f>
        <v/>
      </c>
      <c r="K2" s="25">
        <f ca="1">IF(H2&lt;&gt;"","",IF(G2="","",G2-TODAY()))</f>
        <v>-43</v>
      </c>
      <c r="L2" s="18" t="str">
        <f ca="1">IF(I2&lt;&gt;"","Completed",IF(G2&lt;TODAY(),"Delayed",IF(G2-TODAY()&lt;=7,"At Risk","On Track")))</f>
        <v>Delayed</v>
      </c>
      <c r="M2" s="16"/>
      <c r="N2" s="16"/>
    </row>
    <row r="3" spans="1:14" ht="29.1">
      <c r="A3" s="25">
        <v>2</v>
      </c>
      <c r="B3" s="24" t="s">
        <v>75</v>
      </c>
      <c r="C3" s="16" t="s">
        <v>365</v>
      </c>
      <c r="D3" s="25" t="s">
        <v>366</v>
      </c>
      <c r="E3" s="25" t="s">
        <v>364</v>
      </c>
      <c r="F3" s="17">
        <v>46210</v>
      </c>
      <c r="G3" s="17">
        <f>G2+2</f>
        <v>46249</v>
      </c>
      <c r="H3" s="17"/>
      <c r="I3" s="17"/>
      <c r="J3" s="25">
        <f t="shared" ref="J3:J7" si="0">IF(OR(F3="",G3=""),"",G3-F3+1)</f>
        <v>40</v>
      </c>
      <c r="K3" s="25">
        <f t="shared" ref="K3:K7" ca="1" si="1">IF(H3&lt;&gt;"","",IF(G3="","",G3-TODAY()))</f>
        <v>-41</v>
      </c>
      <c r="L3" s="18" t="str">
        <f t="shared" ref="L3:L7" ca="1" si="2">IF(I3&lt;&gt;"","Completed",IF(G3&lt;TODAY(),"Delayed",IF(G3-TODAY()&lt;=7,"At Risk","On Track")))</f>
        <v>Delayed</v>
      </c>
      <c r="M3" s="16"/>
      <c r="N3" s="16"/>
    </row>
    <row r="4" spans="1:14" ht="29.1">
      <c r="A4" s="25">
        <v>3</v>
      </c>
      <c r="B4" s="24" t="s">
        <v>29</v>
      </c>
      <c r="C4" s="16" t="s">
        <v>367</v>
      </c>
      <c r="D4" s="25" t="s">
        <v>368</v>
      </c>
      <c r="E4" s="25" t="s">
        <v>364</v>
      </c>
      <c r="F4" s="17">
        <v>46234</v>
      </c>
      <c r="G4" s="17">
        <v>46280</v>
      </c>
      <c r="H4" s="17"/>
      <c r="I4" s="17"/>
      <c r="J4" s="25">
        <f t="shared" si="0"/>
        <v>47</v>
      </c>
      <c r="K4" s="25">
        <f t="shared" ca="1" si="1"/>
        <v>-10</v>
      </c>
      <c r="L4" s="18" t="str">
        <f t="shared" ca="1" si="2"/>
        <v>Delayed</v>
      </c>
      <c r="M4" s="16"/>
      <c r="N4" s="16"/>
    </row>
    <row r="5" spans="1:14" ht="29.1">
      <c r="A5" s="25">
        <v>4</v>
      </c>
      <c r="B5" s="24" t="s">
        <v>30</v>
      </c>
      <c r="C5" s="16" t="s">
        <v>369</v>
      </c>
      <c r="D5" s="25" t="s">
        <v>370</v>
      </c>
      <c r="E5" s="25" t="s">
        <v>67</v>
      </c>
      <c r="F5" s="17"/>
      <c r="G5" s="17"/>
      <c r="H5" s="17"/>
      <c r="I5" s="17"/>
      <c r="J5" s="25" t="str">
        <f t="shared" si="0"/>
        <v/>
      </c>
      <c r="K5" s="25" t="str">
        <f t="shared" ca="1" si="1"/>
        <v/>
      </c>
      <c r="L5" s="18" t="str">
        <f t="shared" ca="1" si="2"/>
        <v>Delayed</v>
      </c>
      <c r="M5" s="16"/>
      <c r="N5" s="16"/>
    </row>
    <row r="6" spans="1:14" ht="29.1">
      <c r="A6" s="25">
        <v>5</v>
      </c>
      <c r="B6" s="24" t="s">
        <v>31</v>
      </c>
      <c r="C6" s="16" t="s">
        <v>371</v>
      </c>
      <c r="D6" s="25" t="s">
        <v>368</v>
      </c>
      <c r="E6" s="25" t="s">
        <v>368</v>
      </c>
      <c r="F6" s="17"/>
      <c r="G6" s="17"/>
      <c r="H6" s="17"/>
      <c r="I6" s="17"/>
      <c r="J6" s="25" t="str">
        <f t="shared" si="0"/>
        <v/>
      </c>
      <c r="K6" s="25" t="str">
        <f t="shared" ca="1" si="1"/>
        <v/>
      </c>
      <c r="L6" s="18" t="str">
        <f t="shared" ca="1" si="2"/>
        <v>Delayed</v>
      </c>
      <c r="M6" s="16"/>
      <c r="N6" s="16"/>
    </row>
    <row r="7" spans="1:14" ht="29.1">
      <c r="A7" s="25">
        <v>6</v>
      </c>
      <c r="B7" s="24" t="s">
        <v>340</v>
      </c>
      <c r="C7" s="16" t="s">
        <v>372</v>
      </c>
      <c r="D7" s="25" t="s">
        <v>373</v>
      </c>
      <c r="E7" s="25" t="s">
        <v>364</v>
      </c>
      <c r="F7" s="17"/>
      <c r="G7" s="17"/>
      <c r="H7" s="17"/>
      <c r="I7" s="17"/>
      <c r="J7" s="25" t="str">
        <f t="shared" si="0"/>
        <v/>
      </c>
      <c r="K7" s="25" t="str">
        <f t="shared" ca="1" si="1"/>
        <v/>
      </c>
      <c r="L7" s="18" t="str">
        <f t="shared" ca="1" si="2"/>
        <v>Delayed</v>
      </c>
      <c r="M7" s="16"/>
      <c r="N7" s="16"/>
    </row>
    <row r="9" spans="1:14" ht="21">
      <c r="B9" s="19" t="s">
        <v>374</v>
      </c>
      <c r="C9" s="19" t="s">
        <v>375</v>
      </c>
      <c r="D9" s="27"/>
    </row>
    <row r="10" spans="1:14">
      <c r="B10" s="20"/>
      <c r="C10" s="20"/>
      <c r="D10" s="28"/>
    </row>
    <row r="11" spans="1:14">
      <c r="B11" s="21"/>
      <c r="C11" s="20"/>
      <c r="D11" s="28"/>
    </row>
    <row r="12" spans="1:14">
      <c r="B12" s="21"/>
      <c r="C12" s="20"/>
      <c r="D12" s="28"/>
    </row>
    <row r="13" spans="1:14">
      <c r="B13" s="21"/>
      <c r="C13" s="20"/>
      <c r="D13" s="28"/>
    </row>
    <row r="14" spans="1:14">
      <c r="B14" s="21"/>
      <c r="C14" s="20"/>
      <c r="D14" s="28"/>
    </row>
    <row r="15" spans="1:14">
      <c r="B15" s="21"/>
      <c r="C15" s="20"/>
      <c r="D15" s="28"/>
    </row>
    <row r="16" spans="1:14">
      <c r="B16" s="21"/>
      <c r="C16" s="22"/>
      <c r="D16" s="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AB53C570473A468DD1557733AE4660" ma:contentTypeVersion="18" ma:contentTypeDescription="Create a new document." ma:contentTypeScope="" ma:versionID="f15b54dccc40c024686314b687879384">
  <xsd:schema xmlns:xsd="http://www.w3.org/2001/XMLSchema" xmlns:xs="http://www.w3.org/2001/XMLSchema" xmlns:p="http://schemas.microsoft.com/office/2006/metadata/properties" xmlns:ns2="5257c0a4-1430-449d-83fe-5487a44f74a9" xmlns:ns3="edc11825-568b-413a-84d5-4a9f1ca45e23" targetNamespace="http://schemas.microsoft.com/office/2006/metadata/properties" ma:root="true" ma:fieldsID="9c79ba8ab8bfb6c95a50242b6252bcf2" ns2:_="" ns3:_="">
    <xsd:import namespace="5257c0a4-1430-449d-83fe-5487a44f74a9"/>
    <xsd:import namespace="edc11825-568b-413a-84d5-4a9f1ca45e23"/>
    <xsd:element name="properties">
      <xsd:complexType>
        <xsd:sequence>
          <xsd:element name="documentManagement">
            <xsd:complexType>
              <xsd:all>
                <xsd:element ref="ns2:MigrationWizId" minOccurs="0"/>
                <xsd:element ref="ns2:MigrationWizIdPermissions" minOccurs="0"/>
                <xsd:element ref="ns2:MigrationWizIdVersion" minOccurs="0"/>
                <xsd:element ref="ns2:lcf76f155ced4ddcb4097134ff3c332f0"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7c0a4-1430-449d-83fe-5487a44f74a9"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lcf76f155ced4ddcb4097134ff3c332f0" ma:index="11" nillable="true" ma:displayName="Image Tags_0" ma:hidden="true" ma:internalName="lcf76f155ced4ddcb4097134ff3c332f0" ma:readOnly="fals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395a1e0-d6cd-42d2-b535-e83eeafae7a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c11825-568b-413a-84d5-4a9f1ca45e2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54bf751-e204-44ce-ad3c-8c42a5e0d78f}" ma:internalName="TaxCatchAll" ma:showField="CatchAllData" ma:web="edc11825-568b-413a-84d5-4a9f1ca45e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c11825-568b-413a-84d5-4a9f1ca45e23" xsi:nil="true"/>
    <MigrationWizId xmlns="5257c0a4-1430-449d-83fe-5487a44f74a9" xsi:nil="true"/>
    <MigrationWizIdVersion xmlns="5257c0a4-1430-449d-83fe-5487a44f74a9" xsi:nil="true"/>
    <lcf76f155ced4ddcb4097134ff3c332f0 xmlns="5257c0a4-1430-449d-83fe-5487a44f74a9" xsi:nil="true"/>
    <MigrationWizIdPermissions xmlns="5257c0a4-1430-449d-83fe-5487a44f74a9" xsi:nil="true"/>
    <lcf76f155ced4ddcb4097134ff3c332f xmlns="5257c0a4-1430-449d-83fe-5487a44f74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C960B7-FFC1-4DD5-9675-AA2B14844178}"/>
</file>

<file path=customXml/itemProps2.xml><?xml version="1.0" encoding="utf-8"?>
<ds:datastoreItem xmlns:ds="http://schemas.openxmlformats.org/officeDocument/2006/customXml" ds:itemID="{9FDABFEE-ABC0-4726-8B0A-8CC6F28E08C9}"/>
</file>

<file path=customXml/itemProps3.xml><?xml version="1.0" encoding="utf-8"?>
<ds:datastoreItem xmlns:ds="http://schemas.openxmlformats.org/officeDocument/2006/customXml" ds:itemID="{E33095DF-5488-4606-9391-81B68F9952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 Subash Eathakota</dc:creator>
  <cp:keywords/>
  <dc:description/>
  <cp:lastModifiedBy/>
  <cp:revision/>
  <dcterms:created xsi:type="dcterms:W3CDTF">2026-08-06T06:55:57Z</dcterms:created>
  <dcterms:modified xsi:type="dcterms:W3CDTF">2026-09-25T09:45:21Z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59e269-9c5f-4099-8773-57606129b7d5_Enabled">
    <vt:lpwstr>true</vt:lpwstr>
  </property>
  <property fmtid="{D5CDD505-2E9C-101B-9397-08002B2CF9AE}" pid="3" name="MSIP_Label_6c59e269-9c5f-4099-8773-57606129b7d5_SetDate">
    <vt:lpwstr>2026-08-06T06:58:31Z</vt:lpwstr>
  </property>
  <property fmtid="{D5CDD505-2E9C-101B-9397-08002B2CF9AE}" pid="4" name="MSIP_Label_6c59e269-9c5f-4099-8773-57606129b7d5_Method">
    <vt:lpwstr>Privileged</vt:lpwstr>
  </property>
  <property fmtid="{D5CDD505-2E9C-101B-9397-08002B2CF9AE}" pid="5" name="MSIP_Label_6c59e269-9c5f-4099-8773-57606129b7d5_Name">
    <vt:lpwstr>Internal</vt:lpwstr>
  </property>
  <property fmtid="{D5CDD505-2E9C-101B-9397-08002B2CF9AE}" pid="6" name="MSIP_Label_6c59e269-9c5f-4099-8773-57606129b7d5_SiteId">
    <vt:lpwstr>aaace049-6505-453e-94a3-c70dcacf2984</vt:lpwstr>
  </property>
  <property fmtid="{D5CDD505-2E9C-101B-9397-08002B2CF9AE}" pid="7" name="MSIP_Label_6c59e269-9c5f-4099-8773-57606129b7d5_ActionId">
    <vt:lpwstr>88fbe9c7-f72f-4d1a-a306-5d0228ab8b2d</vt:lpwstr>
  </property>
  <property fmtid="{D5CDD505-2E9C-101B-9397-08002B2CF9AE}" pid="8" name="MSIP_Label_6c59e269-9c5f-4099-8773-57606129b7d5_ContentBits">
    <vt:lpwstr>0</vt:lpwstr>
  </property>
  <property fmtid="{D5CDD505-2E9C-101B-9397-08002B2CF9AE}" pid="9" name="MSIP_Label_6c59e269-9c5f-4099-8773-57606129b7d5_Tag">
    <vt:lpwstr>10, 0, 1, 1</vt:lpwstr>
  </property>
  <property fmtid="{D5CDD505-2E9C-101B-9397-08002B2CF9AE}" pid="10" name="ContentTypeId">
    <vt:lpwstr>0x0101004DAB53C570473A468DD1557733AE4660</vt:lpwstr>
  </property>
  <property fmtid="{D5CDD505-2E9C-101B-9397-08002B2CF9AE}" pid="11" name="MediaServiceImageTags">
    <vt:lpwstr/>
  </property>
</Properties>
</file>